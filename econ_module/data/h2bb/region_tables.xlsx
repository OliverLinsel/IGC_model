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oliver\Documents\RUB\01_Projekte\IGC_NRW\Arbeitspakete\IGC_model\econ_module\data\h2bb\"/>
    </mc:Choice>
  </mc:AlternateContent>
  <xr:revisionPtr revIDLastSave="0" documentId="13_ncr:1_{DA06AE03-254C-49CD-997E-028E025D78FD}" xr6:coauthVersionLast="47" xr6:coauthVersionMax="47" xr10:uidLastSave="{00000000-0000-0000-0000-000000000000}"/>
  <bookViews>
    <workbookView xWindow="57480" yWindow="-4725" windowWidth="29040" windowHeight="15720" activeTab="2" xr2:uid="{00000000-000D-0000-FFFF-FFFF00000000}"/>
  </bookViews>
  <sheets>
    <sheet name="prices" sheetId="1" r:id="rId1"/>
    <sheet name="demands" sheetId="2" r:id="rId2"/>
    <sheet name="supply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F3" i="1"/>
  <c r="G3" i="1"/>
  <c r="H3" i="1"/>
  <c r="I3" i="1" s="1"/>
  <c r="J3" i="1" s="1"/>
  <c r="K3" i="1" s="1"/>
  <c r="L3" i="1" s="1"/>
  <c r="M3" i="1"/>
  <c r="N3" i="1"/>
  <c r="O3" i="1"/>
  <c r="P3" i="1"/>
  <c r="Q3" i="1" s="1"/>
  <c r="R3" i="1" s="1"/>
  <c r="S3" i="1" s="1"/>
  <c r="E4" i="1"/>
  <c r="F4" i="1" s="1"/>
  <c r="G4" i="1" s="1"/>
  <c r="H4" i="1" s="1"/>
  <c r="I4" i="1" s="1"/>
  <c r="J4" i="1" s="1"/>
  <c r="K4" i="1" s="1"/>
  <c r="L4" i="1" s="1"/>
  <c r="M4" i="1"/>
  <c r="N4" i="1" s="1"/>
  <c r="O4" i="1" s="1"/>
  <c r="P4" i="1" s="1"/>
  <c r="Q4" i="1" s="1"/>
  <c r="R4" i="1" s="1"/>
  <c r="S4" i="1" s="1"/>
  <c r="E5" i="1"/>
  <c r="F5" i="1"/>
  <c r="G5" i="1"/>
  <c r="H5" i="1"/>
  <c r="I5" i="1"/>
  <c r="J5" i="1"/>
  <c r="K5" i="1" s="1"/>
  <c r="L5" i="1" s="1"/>
  <c r="M5" i="1"/>
  <c r="N5" i="1"/>
  <c r="O5" i="1"/>
  <c r="P5" i="1"/>
  <c r="Q5" i="1"/>
  <c r="R5" i="1"/>
  <c r="S5" i="1" s="1"/>
  <c r="E6" i="1"/>
  <c r="F6" i="1" s="1"/>
  <c r="G6" i="1" s="1"/>
  <c r="H6" i="1" s="1"/>
  <c r="I6" i="1" s="1"/>
  <c r="J6" i="1" s="1"/>
  <c r="K6" i="1" s="1"/>
  <c r="L6" i="1" s="1"/>
  <c r="M6" i="1"/>
  <c r="N6" i="1" s="1"/>
  <c r="O6" i="1" s="1"/>
  <c r="P6" i="1" s="1"/>
  <c r="Q6" i="1" s="1"/>
  <c r="R6" i="1" s="1"/>
  <c r="S6" i="1" s="1"/>
  <c r="O2" i="1"/>
  <c r="P2" i="1" s="1"/>
  <c r="Q2" i="1" s="1"/>
  <c r="R2" i="1" s="1"/>
  <c r="S2" i="1" s="1"/>
  <c r="N2" i="1"/>
  <c r="M2" i="1"/>
  <c r="F2" i="1"/>
  <c r="G2" i="1" s="1"/>
  <c r="H2" i="1" s="1"/>
  <c r="I2" i="1" s="1"/>
  <c r="J2" i="1" s="1"/>
  <c r="K2" i="1" s="1"/>
  <c r="L2" i="1" s="1"/>
  <c r="E2" i="1"/>
  <c r="E3" i="3"/>
  <c r="F3" i="3"/>
  <c r="G3" i="3"/>
  <c r="H3" i="3"/>
  <c r="I3" i="3"/>
  <c r="J3" i="3"/>
  <c r="K3" i="3"/>
  <c r="L3" i="3"/>
  <c r="E4" i="3"/>
  <c r="F4" i="3"/>
  <c r="G4" i="3"/>
  <c r="H4" i="3"/>
  <c r="I4" i="3"/>
  <c r="J4" i="3"/>
  <c r="K4" i="3"/>
  <c r="L4" i="3"/>
  <c r="E5" i="3"/>
  <c r="F5" i="3"/>
  <c r="G5" i="3"/>
  <c r="H5" i="3"/>
  <c r="I5" i="3"/>
  <c r="J5" i="3"/>
  <c r="K5" i="3"/>
  <c r="L5" i="3"/>
  <c r="E6" i="3"/>
  <c r="F6" i="3"/>
  <c r="G6" i="3"/>
  <c r="H6" i="3"/>
  <c r="I6" i="3"/>
  <c r="J6" i="3"/>
  <c r="K6" i="3"/>
  <c r="L6" i="3"/>
  <c r="E3" i="2"/>
  <c r="F3" i="2"/>
  <c r="G3" i="2"/>
  <c r="H3" i="2"/>
  <c r="I3" i="2"/>
  <c r="J3" i="2"/>
  <c r="K3" i="2"/>
  <c r="L3" i="2"/>
  <c r="E4" i="2"/>
  <c r="F4" i="2"/>
  <c r="G4" i="2"/>
  <c r="H4" i="2"/>
  <c r="I4" i="2"/>
  <c r="J4" i="2"/>
  <c r="K4" i="2"/>
  <c r="L4" i="2"/>
  <c r="E5" i="2"/>
  <c r="F5" i="2"/>
  <c r="G5" i="2"/>
  <c r="H5" i="2"/>
  <c r="I5" i="2"/>
  <c r="J5" i="2"/>
  <c r="K5" i="2"/>
  <c r="L5" i="2"/>
  <c r="E6" i="2"/>
  <c r="F6" i="2"/>
  <c r="G6" i="2"/>
  <c r="H6" i="2"/>
  <c r="I6" i="2"/>
  <c r="J6" i="2"/>
  <c r="K6" i="2"/>
  <c r="L6" i="2"/>
  <c r="M3" i="3"/>
  <c r="N3" i="3"/>
  <c r="O3" i="3"/>
  <c r="P3" i="3"/>
  <c r="Q3" i="3"/>
  <c r="R3" i="3"/>
  <c r="S3" i="3"/>
  <c r="M4" i="3"/>
  <c r="N4" i="3"/>
  <c r="O4" i="3"/>
  <c r="P4" i="3"/>
  <c r="Q4" i="3"/>
  <c r="R4" i="3"/>
  <c r="S4" i="3"/>
  <c r="M5" i="3"/>
  <c r="N5" i="3"/>
  <c r="O5" i="3"/>
  <c r="P5" i="3"/>
  <c r="Q5" i="3"/>
  <c r="R5" i="3"/>
  <c r="S5" i="3"/>
  <c r="M6" i="3"/>
  <c r="N6" i="3"/>
  <c r="O6" i="3"/>
  <c r="P6" i="3"/>
  <c r="Q6" i="3"/>
  <c r="R6" i="3"/>
  <c r="S6" i="3"/>
  <c r="M3" i="2"/>
  <c r="N3" i="2"/>
  <c r="O3" i="2"/>
  <c r="P3" i="2"/>
  <c r="Q3" i="2"/>
  <c r="R3" i="2"/>
  <c r="S3" i="2"/>
  <c r="M4" i="2"/>
  <c r="N4" i="2"/>
  <c r="O4" i="2"/>
  <c r="P4" i="2"/>
  <c r="Q4" i="2"/>
  <c r="R4" i="2"/>
  <c r="S4" i="2"/>
  <c r="M5" i="2"/>
  <c r="N5" i="2"/>
  <c r="O5" i="2"/>
  <c r="P5" i="2"/>
  <c r="Q5" i="2"/>
  <c r="R5" i="2"/>
  <c r="S5" i="2"/>
  <c r="M6" i="2"/>
  <c r="N6" i="2"/>
  <c r="O6" i="2"/>
  <c r="P6" i="2"/>
  <c r="Q6" i="2"/>
  <c r="R6" i="2"/>
  <c r="S6" i="2"/>
  <c r="S2" i="3" l="1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S2" i="2"/>
  <c r="R2" i="2"/>
  <c r="Q2" i="2"/>
  <c r="P2" i="2"/>
  <c r="O2" i="2"/>
  <c r="N2" i="2"/>
  <c r="M2" i="2"/>
  <c r="L2" i="2"/>
  <c r="K2" i="2"/>
  <c r="J2" i="2"/>
  <c r="I2" i="2"/>
  <c r="H2" i="2"/>
  <c r="G2" i="2"/>
  <c r="F2" i="2"/>
  <c r="E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Oliver Linsel</author>
  </authors>
  <commentList>
    <comment ref="A1" authorId="0" shapeId="0" xr:uid="{7422C6E1-6C54-4193-96D6-640C871069B4}">
      <text>
        <r>
          <rPr>
            <b/>
            <sz val="9"/>
            <color indexed="81"/>
            <rFont val="Segoe UI"/>
            <charset val="1"/>
          </rPr>
          <t>Oliver Linsel:</t>
        </r>
        <r>
          <rPr>
            <sz val="9"/>
            <color indexed="81"/>
            <rFont val="Segoe UI"/>
            <charset val="1"/>
          </rPr>
          <t xml:space="preserve">
Regional prices per time step in €/MWh</t>
        </r>
      </text>
    </comment>
    <comment ref="D1" authorId="0" shapeId="0" xr:uid="{0811E22C-837C-4EDE-9D8B-71232249A48E}">
      <text>
        <r>
          <rPr>
            <b/>
            <sz val="9"/>
            <color indexed="81"/>
            <rFont val="Segoe UI"/>
            <charset val="1"/>
          </rPr>
          <t>Oliver Linsel:</t>
        </r>
        <r>
          <rPr>
            <sz val="9"/>
            <color indexed="81"/>
            <rFont val="Segoe UI"/>
            <charset val="1"/>
          </rPr>
          <t xml:space="preserve">
defining the demand scenario that is used in the optimization.
ds = demand scenario
m/p = negative/positive demand sensitivity
XX = percentage of demand sensitivity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Oliver Linsel</author>
  </authors>
  <commentList>
    <comment ref="A1" authorId="0" shapeId="0" xr:uid="{81D7284F-D931-4D0A-8404-24D48A150E00}">
      <text>
        <r>
          <rPr>
            <b/>
            <sz val="9"/>
            <color indexed="81"/>
            <rFont val="Segoe UI"/>
            <charset val="1"/>
          </rPr>
          <t>Oliver Linsel:</t>
        </r>
        <r>
          <rPr>
            <sz val="9"/>
            <color indexed="81"/>
            <rFont val="Segoe UI"/>
            <charset val="1"/>
          </rPr>
          <t xml:space="preserve">
Regional prices per time step in TWh/a</t>
        </r>
      </text>
    </comment>
    <comment ref="D1" authorId="0" shapeId="0" xr:uid="{777D14AF-0216-4805-A0A7-96B3AF7037A6}">
      <text>
        <r>
          <rPr>
            <b/>
            <sz val="9"/>
            <color indexed="81"/>
            <rFont val="Segoe UI"/>
            <charset val="1"/>
          </rPr>
          <t>Oliver Linsel:</t>
        </r>
        <r>
          <rPr>
            <sz val="9"/>
            <color indexed="81"/>
            <rFont val="Segoe UI"/>
            <charset val="1"/>
          </rPr>
          <t xml:space="preserve">
defining the demand scenario that is used in the optimization.
ds = demand scenario
m/p = negative/positive demand sensitivity
XX = percentage of demand sensitivity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Oliver Linsel</author>
  </authors>
  <commentList>
    <comment ref="A1" authorId="0" shapeId="0" xr:uid="{DE065DB3-ED42-45B9-9D50-79F6FD74AA3A}">
      <text>
        <r>
          <rPr>
            <b/>
            <sz val="9"/>
            <color indexed="81"/>
            <rFont val="Segoe UI"/>
            <charset val="1"/>
          </rPr>
          <t>Oliver Linsel:</t>
        </r>
        <r>
          <rPr>
            <sz val="9"/>
            <color indexed="81"/>
            <rFont val="Segoe UI"/>
            <charset val="1"/>
          </rPr>
          <t xml:space="preserve">
Regional prices per time step in TWh/a</t>
        </r>
      </text>
    </comment>
    <comment ref="D1" authorId="0" shapeId="0" xr:uid="{3A76CCD2-5A38-4485-9513-145436FA5777}">
      <text>
        <r>
          <rPr>
            <b/>
            <sz val="9"/>
            <color indexed="81"/>
            <rFont val="Segoe UI"/>
            <charset val="1"/>
          </rPr>
          <t>Oliver Linsel:</t>
        </r>
        <r>
          <rPr>
            <sz val="9"/>
            <color indexed="81"/>
            <rFont val="Segoe UI"/>
            <charset val="1"/>
          </rPr>
          <t xml:space="preserve">
defining the demand scenario that is used in the optimization.
ds = demand scenario
m/p = negative/positive demand sensitivity
XX = percentage of demand sensitivity</t>
        </r>
      </text>
    </comment>
  </commentList>
</comments>
</file>

<file path=xl/sharedStrings.xml><?xml version="1.0" encoding="utf-8"?>
<sst xmlns="http://schemas.openxmlformats.org/spreadsheetml/2006/main" count="102" uniqueCount="26">
  <si>
    <t>scenario</t>
  </si>
  <si>
    <t>Base</t>
  </si>
  <si>
    <t>h2</t>
  </si>
  <si>
    <t>region</t>
  </si>
  <si>
    <t>EU-DEU</t>
  </si>
  <si>
    <t>EU-FIN</t>
  </si>
  <si>
    <t>EU-FRA</t>
  </si>
  <si>
    <t>EU-DNK</t>
  </si>
  <si>
    <t>commodity</t>
  </si>
  <si>
    <t>EU-NLD</t>
  </si>
  <si>
    <t>ds_p_0</t>
  </si>
  <si>
    <t>ds_p_10</t>
  </si>
  <si>
    <t>ds_p_20</t>
  </si>
  <si>
    <t>ds_p_30</t>
  </si>
  <si>
    <t>ds_p_40</t>
  </si>
  <si>
    <t>ds_p_50</t>
  </si>
  <si>
    <t>ds_p_60</t>
  </si>
  <si>
    <t>ds_p_80</t>
  </si>
  <si>
    <t>ds_p_100</t>
  </si>
  <si>
    <t>ds_m_10</t>
  </si>
  <si>
    <t>ds_m_20</t>
  </si>
  <si>
    <t>ds_m_30</t>
  </si>
  <si>
    <t>ds_m_40</t>
  </si>
  <si>
    <t>ds_m_50</t>
  </si>
  <si>
    <t>ds_m_60</t>
  </si>
  <si>
    <t>ds_m_80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</si>
</sst>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8"/>
  <sheetViews>
    <sheetView workbookViewId="0">
      <selection activeCell="D5" sqref="D5"/>
    </sheetView>
  </sheetViews>
  <sheetFormatPr baseColWidth="10" defaultColWidth="8.7265625" defaultRowHeight="14.5" x14ac:dyDescent="0.35"/>
  <cols>
    <col min="1" max="1" width="7.453125" bestFit="1" customWidth="1"/>
    <col min="2" max="2" width="10.453125" bestFit="1" customWidth="1"/>
    <col min="3" max="3" width="8" bestFit="1" customWidth="1"/>
    <col min="4" max="4" width="6.81640625" bestFit="1" customWidth="1"/>
    <col min="5" max="11" width="7.81640625" bestFit="1" customWidth="1"/>
    <col min="12" max="12" width="8.81640625" bestFit="1" customWidth="1"/>
    <col min="13" max="19" width="8.36328125" bestFit="1" customWidth="1"/>
  </cols>
  <sheetData>
    <row r="1" spans="1:19" x14ac:dyDescent="0.35">
      <c r="A1" t="s">
        <v>3</v>
      </c>
      <c r="B1" t="s">
        <v>8</v>
      </c>
      <c r="C1" t="s">
        <v>0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15</v>
      </c>
      <c r="J1" t="s">
        <v>16</v>
      </c>
      <c r="K1" t="s">
        <v>17</v>
      </c>
      <c r="L1" t="s">
        <v>18</v>
      </c>
      <c r="M1" t="s">
        <v>19</v>
      </c>
      <c r="N1" t="s">
        <v>20</v>
      </c>
      <c r="O1" t="s">
        <v>21</v>
      </c>
      <c r="P1" t="s">
        <v>22</v>
      </c>
      <c r="Q1" t="s">
        <v>23</v>
      </c>
      <c r="R1" t="s">
        <v>24</v>
      </c>
      <c r="S1" t="s">
        <v>25</v>
      </c>
    </row>
    <row r="2" spans="1:19" x14ac:dyDescent="0.35">
      <c r="A2" t="s">
        <v>4</v>
      </c>
      <c r="B2" t="s">
        <v>2</v>
      </c>
      <c r="C2" t="s">
        <v>1</v>
      </c>
      <c r="D2" s="1">
        <v>110</v>
      </c>
      <c r="E2" s="1">
        <f>D2+E$8</f>
        <v>112</v>
      </c>
      <c r="F2" s="1">
        <f t="shared" ref="F2:S2" si="0">E2+F$8</f>
        <v>115</v>
      </c>
      <c r="G2" s="1">
        <f t="shared" si="0"/>
        <v>120</v>
      </c>
      <c r="H2" s="1">
        <f t="shared" si="0"/>
        <v>125</v>
      </c>
      <c r="I2" s="1">
        <f t="shared" si="0"/>
        <v>135</v>
      </c>
      <c r="J2" s="1">
        <f t="shared" si="0"/>
        <v>145</v>
      </c>
      <c r="K2" s="1">
        <f t="shared" si="0"/>
        <v>160</v>
      </c>
      <c r="L2" s="1">
        <f t="shared" si="0"/>
        <v>200</v>
      </c>
      <c r="M2" s="1">
        <f>D2+M$8</f>
        <v>108</v>
      </c>
      <c r="N2" s="1">
        <f>M2+N$8</f>
        <v>105</v>
      </c>
      <c r="O2" s="1">
        <f t="shared" ref="O2:S2" si="1">N2+O$8</f>
        <v>101</v>
      </c>
      <c r="P2" s="1">
        <f t="shared" si="1"/>
        <v>96</v>
      </c>
      <c r="Q2" s="1">
        <f t="shared" si="1"/>
        <v>91</v>
      </c>
      <c r="R2" s="1">
        <f t="shared" si="1"/>
        <v>87</v>
      </c>
      <c r="S2" s="1">
        <f t="shared" si="1"/>
        <v>75</v>
      </c>
    </row>
    <row r="3" spans="1:19" x14ac:dyDescent="0.35">
      <c r="A3" t="s">
        <v>5</v>
      </c>
      <c r="B3" t="s">
        <v>2</v>
      </c>
      <c r="C3" t="s">
        <v>1</v>
      </c>
      <c r="D3" s="1">
        <v>93</v>
      </c>
      <c r="E3" s="1">
        <f t="shared" ref="E3:L3" si="2">D3+E$8</f>
        <v>95</v>
      </c>
      <c r="F3" s="1">
        <f t="shared" si="2"/>
        <v>98</v>
      </c>
      <c r="G3" s="1">
        <f t="shared" si="2"/>
        <v>103</v>
      </c>
      <c r="H3" s="1">
        <f t="shared" si="2"/>
        <v>108</v>
      </c>
      <c r="I3" s="1">
        <f t="shared" si="2"/>
        <v>118</v>
      </c>
      <c r="J3" s="1">
        <f t="shared" si="2"/>
        <v>128</v>
      </c>
      <c r="K3" s="1">
        <f t="shared" si="2"/>
        <v>143</v>
      </c>
      <c r="L3" s="1">
        <f t="shared" si="2"/>
        <v>183</v>
      </c>
      <c r="M3" s="1">
        <f t="shared" ref="M3:M6" si="3">D3+M$8</f>
        <v>91</v>
      </c>
      <c r="N3" s="1">
        <f t="shared" ref="N3:S3" si="4">M3+N$8</f>
        <v>88</v>
      </c>
      <c r="O3" s="1">
        <f t="shared" si="4"/>
        <v>84</v>
      </c>
      <c r="P3" s="1">
        <f t="shared" si="4"/>
        <v>79</v>
      </c>
      <c r="Q3" s="1">
        <f t="shared" si="4"/>
        <v>74</v>
      </c>
      <c r="R3" s="1">
        <f t="shared" si="4"/>
        <v>70</v>
      </c>
      <c r="S3" s="1">
        <f t="shared" si="4"/>
        <v>58</v>
      </c>
    </row>
    <row r="4" spans="1:19" x14ac:dyDescent="0.35">
      <c r="A4" t="s">
        <v>6</v>
      </c>
      <c r="B4" t="s">
        <v>2</v>
      </c>
      <c r="C4" t="s">
        <v>1</v>
      </c>
      <c r="D4" s="1">
        <v>90</v>
      </c>
      <c r="E4" s="1">
        <f t="shared" ref="E4:L4" si="5">D4+E$8</f>
        <v>92</v>
      </c>
      <c r="F4" s="1">
        <f t="shared" si="5"/>
        <v>95</v>
      </c>
      <c r="G4" s="1">
        <f t="shared" si="5"/>
        <v>100</v>
      </c>
      <c r="H4" s="1">
        <f t="shared" si="5"/>
        <v>105</v>
      </c>
      <c r="I4" s="1">
        <f t="shared" si="5"/>
        <v>115</v>
      </c>
      <c r="J4" s="1">
        <f t="shared" si="5"/>
        <v>125</v>
      </c>
      <c r="K4" s="1">
        <f t="shared" si="5"/>
        <v>140</v>
      </c>
      <c r="L4" s="1">
        <f t="shared" si="5"/>
        <v>180</v>
      </c>
      <c r="M4" s="1">
        <f t="shared" si="3"/>
        <v>88</v>
      </c>
      <c r="N4" s="1">
        <f t="shared" ref="N4:S4" si="6">M4+N$8</f>
        <v>85</v>
      </c>
      <c r="O4" s="1">
        <f t="shared" si="6"/>
        <v>81</v>
      </c>
      <c r="P4" s="1">
        <f t="shared" si="6"/>
        <v>76</v>
      </c>
      <c r="Q4" s="1">
        <f t="shared" si="6"/>
        <v>71</v>
      </c>
      <c r="R4" s="1">
        <f t="shared" si="6"/>
        <v>67</v>
      </c>
      <c r="S4" s="1">
        <f t="shared" si="6"/>
        <v>55</v>
      </c>
    </row>
    <row r="5" spans="1:19" x14ac:dyDescent="0.35">
      <c r="A5" t="s">
        <v>9</v>
      </c>
      <c r="B5" t="s">
        <v>2</v>
      </c>
      <c r="C5" t="s">
        <v>1</v>
      </c>
      <c r="D5" s="1">
        <v>112</v>
      </c>
      <c r="E5" s="1">
        <f t="shared" ref="E5:L5" si="7">D5+E$8</f>
        <v>114</v>
      </c>
      <c r="F5" s="1">
        <f t="shared" si="7"/>
        <v>117</v>
      </c>
      <c r="G5" s="1">
        <f t="shared" si="7"/>
        <v>122</v>
      </c>
      <c r="H5" s="1">
        <f t="shared" si="7"/>
        <v>127</v>
      </c>
      <c r="I5" s="1">
        <f t="shared" si="7"/>
        <v>137</v>
      </c>
      <c r="J5" s="1">
        <f t="shared" si="7"/>
        <v>147</v>
      </c>
      <c r="K5" s="1">
        <f t="shared" si="7"/>
        <v>162</v>
      </c>
      <c r="L5" s="1">
        <f t="shared" si="7"/>
        <v>202</v>
      </c>
      <c r="M5" s="1">
        <f t="shared" si="3"/>
        <v>110</v>
      </c>
      <c r="N5" s="1">
        <f t="shared" ref="N5:S5" si="8">M5+N$8</f>
        <v>107</v>
      </c>
      <c r="O5" s="1">
        <f t="shared" si="8"/>
        <v>103</v>
      </c>
      <c r="P5" s="1">
        <f t="shared" si="8"/>
        <v>98</v>
      </c>
      <c r="Q5" s="1">
        <f t="shared" si="8"/>
        <v>93</v>
      </c>
      <c r="R5" s="1">
        <f t="shared" si="8"/>
        <v>89</v>
      </c>
      <c r="S5" s="1">
        <f t="shared" si="8"/>
        <v>77</v>
      </c>
    </row>
    <row r="6" spans="1:19" x14ac:dyDescent="0.35">
      <c r="A6" t="s">
        <v>7</v>
      </c>
      <c r="B6" t="s">
        <v>2</v>
      </c>
      <c r="C6" t="s">
        <v>1</v>
      </c>
      <c r="D6" s="1">
        <v>102</v>
      </c>
      <c r="E6" s="1">
        <f t="shared" ref="E6:L6" si="9">D6+E$8</f>
        <v>104</v>
      </c>
      <c r="F6" s="1">
        <f t="shared" si="9"/>
        <v>107</v>
      </c>
      <c r="G6" s="1">
        <f t="shared" si="9"/>
        <v>112</v>
      </c>
      <c r="H6" s="1">
        <f t="shared" si="9"/>
        <v>117</v>
      </c>
      <c r="I6" s="1">
        <f t="shared" si="9"/>
        <v>127</v>
      </c>
      <c r="J6" s="1">
        <f t="shared" si="9"/>
        <v>137</v>
      </c>
      <c r="K6" s="1">
        <f t="shared" si="9"/>
        <v>152</v>
      </c>
      <c r="L6" s="1">
        <f t="shared" si="9"/>
        <v>192</v>
      </c>
      <c r="M6" s="1">
        <f t="shared" si="3"/>
        <v>100</v>
      </c>
      <c r="N6" s="1">
        <f t="shared" ref="N6:S6" si="10">M6+N$8</f>
        <v>97</v>
      </c>
      <c r="O6" s="1">
        <f t="shared" si="10"/>
        <v>93</v>
      </c>
      <c r="P6" s="1">
        <f t="shared" si="10"/>
        <v>88</v>
      </c>
      <c r="Q6" s="1">
        <f t="shared" si="10"/>
        <v>83</v>
      </c>
      <c r="R6" s="1">
        <f t="shared" si="10"/>
        <v>79</v>
      </c>
      <c r="S6" s="1">
        <f t="shared" si="10"/>
        <v>67</v>
      </c>
    </row>
    <row r="8" spans="1:19" x14ac:dyDescent="0.35">
      <c r="E8">
        <v>2</v>
      </c>
      <c r="F8">
        <v>3</v>
      </c>
      <c r="G8">
        <v>5</v>
      </c>
      <c r="H8">
        <v>5</v>
      </c>
      <c r="I8">
        <v>10</v>
      </c>
      <c r="J8">
        <v>10</v>
      </c>
      <c r="K8">
        <v>15</v>
      </c>
      <c r="L8">
        <v>40</v>
      </c>
      <c r="M8">
        <v>-2</v>
      </c>
      <c r="N8">
        <v>-3</v>
      </c>
      <c r="O8">
        <v>-4</v>
      </c>
      <c r="P8">
        <v>-5</v>
      </c>
      <c r="Q8">
        <v>-5</v>
      </c>
      <c r="R8">
        <v>-4</v>
      </c>
      <c r="S8">
        <v>-12</v>
      </c>
    </row>
  </sheetData>
  <phoneticPr fontId="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78A25-5F18-4F5A-891E-A45BA706ED91}">
  <dimension ref="A1:S7"/>
  <sheetViews>
    <sheetView workbookViewId="0">
      <selection activeCell="D3" sqref="D3"/>
    </sheetView>
  </sheetViews>
  <sheetFormatPr baseColWidth="10" defaultRowHeight="14.5" x14ac:dyDescent="0.35"/>
  <cols>
    <col min="1" max="1" width="7.453125" bestFit="1" customWidth="1"/>
    <col min="2" max="2" width="10.453125" bestFit="1" customWidth="1"/>
    <col min="3" max="3" width="8" bestFit="1" customWidth="1"/>
    <col min="4" max="4" width="6.81640625" bestFit="1" customWidth="1"/>
    <col min="5" max="11" width="7.81640625" bestFit="1" customWidth="1"/>
    <col min="12" max="12" width="8.81640625" bestFit="1" customWidth="1"/>
    <col min="13" max="19" width="8.36328125" bestFit="1" customWidth="1"/>
  </cols>
  <sheetData>
    <row r="1" spans="1:19" x14ac:dyDescent="0.35">
      <c r="A1" t="s">
        <v>3</v>
      </c>
      <c r="B1" t="s">
        <v>8</v>
      </c>
      <c r="C1" t="s">
        <v>0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15</v>
      </c>
      <c r="J1" t="s">
        <v>16</v>
      </c>
      <c r="K1" t="s">
        <v>17</v>
      </c>
      <c r="L1" t="s">
        <v>18</v>
      </c>
      <c r="M1" t="s">
        <v>19</v>
      </c>
      <c r="N1" t="s">
        <v>20</v>
      </c>
      <c r="O1" t="s">
        <v>21</v>
      </c>
      <c r="P1" t="s">
        <v>22</v>
      </c>
      <c r="Q1" t="s">
        <v>23</v>
      </c>
      <c r="R1" t="s">
        <v>24</v>
      </c>
      <c r="S1" t="s">
        <v>25</v>
      </c>
    </row>
    <row r="2" spans="1:19" x14ac:dyDescent="0.35">
      <c r="A2" t="s">
        <v>4</v>
      </c>
      <c r="B2" t="s">
        <v>2</v>
      </c>
      <c r="C2" t="s">
        <v>1</v>
      </c>
      <c r="D2" s="1">
        <v>90</v>
      </c>
      <c r="E2" s="1">
        <f>D2*1.1</f>
        <v>99.000000000000014</v>
      </c>
      <c r="F2" s="1">
        <f>D2*1.2</f>
        <v>108</v>
      </c>
      <c r="G2" s="1">
        <f>D2*1.3</f>
        <v>117</v>
      </c>
      <c r="H2" s="1">
        <f>D2*1.4</f>
        <v>125.99999999999999</v>
      </c>
      <c r="I2" s="1">
        <f>D2*1.5</f>
        <v>135</v>
      </c>
      <c r="J2" s="1">
        <f>D2*1.6</f>
        <v>144</v>
      </c>
      <c r="K2" s="1">
        <f>D2*1.8</f>
        <v>162</v>
      </c>
      <c r="L2" s="1">
        <f>D2*2</f>
        <v>180</v>
      </c>
      <c r="M2" s="1">
        <f>D2*0.9</f>
        <v>81</v>
      </c>
      <c r="N2" s="1">
        <f>D2*0.8</f>
        <v>72</v>
      </c>
      <c r="O2" s="1">
        <f>D2*0.7</f>
        <v>62.999999999999993</v>
      </c>
      <c r="P2" s="1">
        <f>D2*0.6</f>
        <v>54</v>
      </c>
      <c r="Q2" s="1">
        <f>D2*0.5</f>
        <v>45</v>
      </c>
      <c r="R2" s="1">
        <f>D2*0.4</f>
        <v>36</v>
      </c>
      <c r="S2" s="1">
        <f>D2*0.2</f>
        <v>18</v>
      </c>
    </row>
    <row r="3" spans="1:19" x14ac:dyDescent="0.35">
      <c r="A3" t="s">
        <v>5</v>
      </c>
      <c r="B3" t="s">
        <v>2</v>
      </c>
      <c r="C3" t="s">
        <v>1</v>
      </c>
      <c r="D3" s="1">
        <v>10</v>
      </c>
      <c r="E3" s="1">
        <f t="shared" ref="E3:E6" si="0">D3*1.1</f>
        <v>11</v>
      </c>
      <c r="F3" s="1">
        <f t="shared" ref="F3:F6" si="1">D3*1.2</f>
        <v>12</v>
      </c>
      <c r="G3" s="1">
        <f t="shared" ref="G3:G6" si="2">D3*1.3</f>
        <v>13</v>
      </c>
      <c r="H3" s="1">
        <f t="shared" ref="H3:H6" si="3">D3*1.4</f>
        <v>14</v>
      </c>
      <c r="I3" s="1">
        <f t="shared" ref="I3:I6" si="4">D3*1.5</f>
        <v>15</v>
      </c>
      <c r="J3" s="1">
        <f t="shared" ref="J3:J6" si="5">D3*1.6</f>
        <v>16</v>
      </c>
      <c r="K3" s="1">
        <f t="shared" ref="K3:K6" si="6">D3*1.8</f>
        <v>18</v>
      </c>
      <c r="L3" s="1">
        <f t="shared" ref="L3:L6" si="7">D3*2</f>
        <v>20</v>
      </c>
      <c r="M3" s="1">
        <f t="shared" ref="M3:M6" si="8">D3*0.9</f>
        <v>9</v>
      </c>
      <c r="N3" s="1">
        <f t="shared" ref="N3:N6" si="9">D3*0.8</f>
        <v>8</v>
      </c>
      <c r="O3" s="1">
        <f t="shared" ref="O3:O6" si="10">D3*0.7</f>
        <v>7</v>
      </c>
      <c r="P3" s="1">
        <f t="shared" ref="P3:P6" si="11">D3*0.6</f>
        <v>6</v>
      </c>
      <c r="Q3" s="1">
        <f t="shared" ref="Q3:Q6" si="12">D3*0.5</f>
        <v>5</v>
      </c>
      <c r="R3" s="1">
        <f t="shared" ref="R3:R6" si="13">D3*0.4</f>
        <v>4</v>
      </c>
      <c r="S3" s="1">
        <f t="shared" ref="S3:S6" si="14">D3*0.2</f>
        <v>2</v>
      </c>
    </row>
    <row r="4" spans="1:19" x14ac:dyDescent="0.35">
      <c r="A4" t="s">
        <v>6</v>
      </c>
      <c r="B4" t="s">
        <v>2</v>
      </c>
      <c r="C4" t="s">
        <v>1</v>
      </c>
      <c r="D4" s="1">
        <v>50</v>
      </c>
      <c r="E4" s="1">
        <f t="shared" si="0"/>
        <v>55.000000000000007</v>
      </c>
      <c r="F4" s="1">
        <f t="shared" si="1"/>
        <v>60</v>
      </c>
      <c r="G4" s="1">
        <f t="shared" si="2"/>
        <v>65</v>
      </c>
      <c r="H4" s="1">
        <f t="shared" si="3"/>
        <v>70</v>
      </c>
      <c r="I4" s="1">
        <f t="shared" si="4"/>
        <v>75</v>
      </c>
      <c r="J4" s="1">
        <f t="shared" si="5"/>
        <v>80</v>
      </c>
      <c r="K4" s="1">
        <f t="shared" si="6"/>
        <v>90</v>
      </c>
      <c r="L4" s="1">
        <f t="shared" si="7"/>
        <v>100</v>
      </c>
      <c r="M4" s="1">
        <f t="shared" si="8"/>
        <v>45</v>
      </c>
      <c r="N4" s="1">
        <f t="shared" si="9"/>
        <v>40</v>
      </c>
      <c r="O4" s="1">
        <f t="shared" si="10"/>
        <v>35</v>
      </c>
      <c r="P4" s="1">
        <f t="shared" si="11"/>
        <v>30</v>
      </c>
      <c r="Q4" s="1">
        <f t="shared" si="12"/>
        <v>25</v>
      </c>
      <c r="R4" s="1">
        <f t="shared" si="13"/>
        <v>20</v>
      </c>
      <c r="S4" s="1">
        <f t="shared" si="14"/>
        <v>10</v>
      </c>
    </row>
    <row r="5" spans="1:19" x14ac:dyDescent="0.35">
      <c r="A5" t="s">
        <v>9</v>
      </c>
      <c r="B5" t="s">
        <v>2</v>
      </c>
      <c r="C5" t="s">
        <v>1</v>
      </c>
      <c r="D5" s="1">
        <v>30</v>
      </c>
      <c r="E5" s="1">
        <f t="shared" si="0"/>
        <v>33</v>
      </c>
      <c r="F5" s="1">
        <f t="shared" si="1"/>
        <v>36</v>
      </c>
      <c r="G5" s="1">
        <f t="shared" si="2"/>
        <v>39</v>
      </c>
      <c r="H5" s="1">
        <f t="shared" si="3"/>
        <v>42</v>
      </c>
      <c r="I5" s="1">
        <f t="shared" si="4"/>
        <v>45</v>
      </c>
      <c r="J5" s="1">
        <f t="shared" si="5"/>
        <v>48</v>
      </c>
      <c r="K5" s="1">
        <f t="shared" si="6"/>
        <v>54</v>
      </c>
      <c r="L5" s="1">
        <f t="shared" si="7"/>
        <v>60</v>
      </c>
      <c r="M5" s="1">
        <f t="shared" si="8"/>
        <v>27</v>
      </c>
      <c r="N5" s="1">
        <f t="shared" si="9"/>
        <v>24</v>
      </c>
      <c r="O5" s="1">
        <f t="shared" si="10"/>
        <v>21</v>
      </c>
      <c r="P5" s="1">
        <f t="shared" si="11"/>
        <v>18</v>
      </c>
      <c r="Q5" s="1">
        <f t="shared" si="12"/>
        <v>15</v>
      </c>
      <c r="R5" s="1">
        <f t="shared" si="13"/>
        <v>12</v>
      </c>
      <c r="S5" s="1">
        <f t="shared" si="14"/>
        <v>6</v>
      </c>
    </row>
    <row r="6" spans="1:19" x14ac:dyDescent="0.35">
      <c r="A6" t="s">
        <v>7</v>
      </c>
      <c r="B6" t="s">
        <v>2</v>
      </c>
      <c r="C6" t="s">
        <v>1</v>
      </c>
      <c r="D6" s="1">
        <v>20</v>
      </c>
      <c r="E6" s="1">
        <f t="shared" si="0"/>
        <v>22</v>
      </c>
      <c r="F6" s="1">
        <f t="shared" si="1"/>
        <v>24</v>
      </c>
      <c r="G6" s="1">
        <f t="shared" si="2"/>
        <v>26</v>
      </c>
      <c r="H6" s="1">
        <f t="shared" si="3"/>
        <v>28</v>
      </c>
      <c r="I6" s="1">
        <f t="shared" si="4"/>
        <v>30</v>
      </c>
      <c r="J6" s="1">
        <f t="shared" si="5"/>
        <v>32</v>
      </c>
      <c r="K6" s="1">
        <f t="shared" si="6"/>
        <v>36</v>
      </c>
      <c r="L6" s="1">
        <f t="shared" si="7"/>
        <v>40</v>
      </c>
      <c r="M6" s="1">
        <f t="shared" si="8"/>
        <v>18</v>
      </c>
      <c r="N6" s="1">
        <f t="shared" si="9"/>
        <v>16</v>
      </c>
      <c r="O6" s="1">
        <f t="shared" si="10"/>
        <v>14</v>
      </c>
      <c r="P6" s="1">
        <f t="shared" si="11"/>
        <v>12</v>
      </c>
      <c r="Q6" s="1">
        <f t="shared" si="12"/>
        <v>10</v>
      </c>
      <c r="R6" s="1">
        <f t="shared" si="13"/>
        <v>8</v>
      </c>
      <c r="S6" s="1">
        <f t="shared" si="14"/>
        <v>4</v>
      </c>
    </row>
    <row r="7" spans="1:19" x14ac:dyDescent="0.35">
      <c r="D7" s="1"/>
    </row>
  </sheetData>
  <pageMargins left="0.7" right="0.7" top="0.78740157499999996" bottom="0.78740157499999996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385CA-3E61-4A82-8C62-F7714D6128D6}">
  <dimension ref="A1:S14"/>
  <sheetViews>
    <sheetView tabSelected="1" workbookViewId="0">
      <selection activeCell="C10" sqref="C10"/>
    </sheetView>
  </sheetViews>
  <sheetFormatPr baseColWidth="10" defaultRowHeight="14.5" x14ac:dyDescent="0.35"/>
  <cols>
    <col min="1" max="1" width="7.453125" bestFit="1" customWidth="1"/>
    <col min="2" max="2" width="10.453125" bestFit="1" customWidth="1"/>
    <col min="3" max="3" width="8" bestFit="1" customWidth="1"/>
    <col min="4" max="4" width="6.81640625" bestFit="1" customWidth="1"/>
    <col min="5" max="11" width="7.81640625" bestFit="1" customWidth="1"/>
    <col min="12" max="12" width="8.81640625" bestFit="1" customWidth="1"/>
    <col min="13" max="19" width="8.36328125" bestFit="1" customWidth="1"/>
  </cols>
  <sheetData>
    <row r="1" spans="1:19" x14ac:dyDescent="0.35">
      <c r="A1" t="s">
        <v>3</v>
      </c>
      <c r="B1" t="s">
        <v>8</v>
      </c>
      <c r="C1" t="s">
        <v>0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15</v>
      </c>
      <c r="J1" t="s">
        <v>16</v>
      </c>
      <c r="K1" t="s">
        <v>17</v>
      </c>
      <c r="L1" t="s">
        <v>18</v>
      </c>
      <c r="M1" t="s">
        <v>19</v>
      </c>
      <c r="N1" t="s">
        <v>20</v>
      </c>
      <c r="O1" t="s">
        <v>21</v>
      </c>
      <c r="P1" t="s">
        <v>22</v>
      </c>
      <c r="Q1" t="s">
        <v>23</v>
      </c>
      <c r="R1" t="s">
        <v>24</v>
      </c>
      <c r="S1" t="s">
        <v>25</v>
      </c>
    </row>
    <row r="2" spans="1:19" x14ac:dyDescent="0.35">
      <c r="A2" t="s">
        <v>4</v>
      </c>
      <c r="B2" t="s">
        <v>2</v>
      </c>
      <c r="C2" t="s">
        <v>1</v>
      </c>
      <c r="D2" s="1">
        <v>90</v>
      </c>
      <c r="E2" s="1">
        <f>D2*1.1</f>
        <v>99.000000000000014</v>
      </c>
      <c r="F2" s="1">
        <f>D2*1.2</f>
        <v>108</v>
      </c>
      <c r="G2" s="1">
        <f>D2*1.3</f>
        <v>117</v>
      </c>
      <c r="H2" s="1">
        <f>D2*1.4</f>
        <v>125.99999999999999</v>
      </c>
      <c r="I2" s="1">
        <f>D2*1.5</f>
        <v>135</v>
      </c>
      <c r="J2" s="1">
        <f>D2*1.6</f>
        <v>144</v>
      </c>
      <c r="K2" s="1">
        <f>D2*1.8</f>
        <v>162</v>
      </c>
      <c r="L2" s="1">
        <f>D2*2</f>
        <v>180</v>
      </c>
      <c r="M2" s="1">
        <f>D2*0.9</f>
        <v>81</v>
      </c>
      <c r="N2" s="1">
        <f>D2*0.8</f>
        <v>72</v>
      </c>
      <c r="O2" s="1">
        <f>D2*0.7</f>
        <v>62.999999999999993</v>
      </c>
      <c r="P2" s="1">
        <f>D2*0.6</f>
        <v>54</v>
      </c>
      <c r="Q2" s="1">
        <f>D2*0.5</f>
        <v>45</v>
      </c>
      <c r="R2" s="1">
        <f>D2*0.4</f>
        <v>36</v>
      </c>
      <c r="S2" s="1">
        <f>D2*0.2</f>
        <v>18</v>
      </c>
    </row>
    <row r="3" spans="1:19" x14ac:dyDescent="0.35">
      <c r="A3" t="s">
        <v>5</v>
      </c>
      <c r="B3" t="s">
        <v>2</v>
      </c>
      <c r="C3" t="s">
        <v>1</v>
      </c>
      <c r="D3" s="1">
        <v>10</v>
      </c>
      <c r="E3" s="1">
        <f t="shared" ref="E3:E6" si="0">D3*1.1</f>
        <v>11</v>
      </c>
      <c r="F3" s="1">
        <f t="shared" ref="F3:F6" si="1">D3*1.2</f>
        <v>12</v>
      </c>
      <c r="G3" s="1">
        <f t="shared" ref="G3:G6" si="2">D3*1.3</f>
        <v>13</v>
      </c>
      <c r="H3" s="1">
        <f t="shared" ref="H3:H6" si="3">D3*1.4</f>
        <v>14</v>
      </c>
      <c r="I3" s="1">
        <f t="shared" ref="I3:I6" si="4">D3*1.5</f>
        <v>15</v>
      </c>
      <c r="J3" s="1">
        <f t="shared" ref="J3:J6" si="5">D3*1.6</f>
        <v>16</v>
      </c>
      <c r="K3" s="1">
        <f t="shared" ref="K3:K6" si="6">D3*1.8</f>
        <v>18</v>
      </c>
      <c r="L3" s="1">
        <f t="shared" ref="L3:L6" si="7">D3*2</f>
        <v>20</v>
      </c>
      <c r="M3" s="1">
        <f t="shared" ref="M3:M6" si="8">D3*0.9</f>
        <v>9</v>
      </c>
      <c r="N3" s="1">
        <f t="shared" ref="N3:N6" si="9">D3*0.8</f>
        <v>8</v>
      </c>
      <c r="O3" s="1">
        <f t="shared" ref="O3:O6" si="10">D3*0.7</f>
        <v>7</v>
      </c>
      <c r="P3" s="1">
        <f t="shared" ref="P3:P6" si="11">D3*0.6</f>
        <v>6</v>
      </c>
      <c r="Q3" s="1">
        <f t="shared" ref="Q3:Q6" si="12">D3*0.5</f>
        <v>5</v>
      </c>
      <c r="R3" s="1">
        <f t="shared" ref="R3:R6" si="13">D3*0.4</f>
        <v>4</v>
      </c>
      <c r="S3" s="1">
        <f t="shared" ref="S3:S6" si="14">D3*0.2</f>
        <v>2</v>
      </c>
    </row>
    <row r="4" spans="1:19" x14ac:dyDescent="0.35">
      <c r="A4" t="s">
        <v>6</v>
      </c>
      <c r="B4" t="s">
        <v>2</v>
      </c>
      <c r="C4" t="s">
        <v>1</v>
      </c>
      <c r="D4" s="1">
        <v>50</v>
      </c>
      <c r="E4" s="1">
        <f t="shared" si="0"/>
        <v>55.000000000000007</v>
      </c>
      <c r="F4" s="1">
        <f t="shared" si="1"/>
        <v>60</v>
      </c>
      <c r="G4" s="1">
        <f t="shared" si="2"/>
        <v>65</v>
      </c>
      <c r="H4" s="1">
        <f t="shared" si="3"/>
        <v>70</v>
      </c>
      <c r="I4" s="1">
        <f t="shared" si="4"/>
        <v>75</v>
      </c>
      <c r="J4" s="1">
        <f t="shared" si="5"/>
        <v>80</v>
      </c>
      <c r="K4" s="1">
        <f t="shared" si="6"/>
        <v>90</v>
      </c>
      <c r="L4" s="1">
        <f t="shared" si="7"/>
        <v>100</v>
      </c>
      <c r="M4" s="1">
        <f t="shared" si="8"/>
        <v>45</v>
      </c>
      <c r="N4" s="1">
        <f t="shared" si="9"/>
        <v>40</v>
      </c>
      <c r="O4" s="1">
        <f t="shared" si="10"/>
        <v>35</v>
      </c>
      <c r="P4" s="1">
        <f t="shared" si="11"/>
        <v>30</v>
      </c>
      <c r="Q4" s="1">
        <f t="shared" si="12"/>
        <v>25</v>
      </c>
      <c r="R4" s="1">
        <f t="shared" si="13"/>
        <v>20</v>
      </c>
      <c r="S4" s="1">
        <f t="shared" si="14"/>
        <v>10</v>
      </c>
    </row>
    <row r="5" spans="1:19" x14ac:dyDescent="0.35">
      <c r="A5" t="s">
        <v>9</v>
      </c>
      <c r="B5" t="s">
        <v>2</v>
      </c>
      <c r="C5" t="s">
        <v>1</v>
      </c>
      <c r="D5" s="1">
        <v>30</v>
      </c>
      <c r="E5" s="1">
        <f t="shared" si="0"/>
        <v>33</v>
      </c>
      <c r="F5" s="1">
        <f t="shared" si="1"/>
        <v>36</v>
      </c>
      <c r="G5" s="1">
        <f t="shared" si="2"/>
        <v>39</v>
      </c>
      <c r="H5" s="1">
        <f t="shared" si="3"/>
        <v>42</v>
      </c>
      <c r="I5" s="1">
        <f t="shared" si="4"/>
        <v>45</v>
      </c>
      <c r="J5" s="1">
        <f t="shared" si="5"/>
        <v>48</v>
      </c>
      <c r="K5" s="1">
        <f t="shared" si="6"/>
        <v>54</v>
      </c>
      <c r="L5" s="1">
        <f t="shared" si="7"/>
        <v>60</v>
      </c>
      <c r="M5" s="1">
        <f t="shared" si="8"/>
        <v>27</v>
      </c>
      <c r="N5" s="1">
        <f t="shared" si="9"/>
        <v>24</v>
      </c>
      <c r="O5" s="1">
        <f t="shared" si="10"/>
        <v>21</v>
      </c>
      <c r="P5" s="1">
        <f t="shared" si="11"/>
        <v>18</v>
      </c>
      <c r="Q5" s="1">
        <f t="shared" si="12"/>
        <v>15</v>
      </c>
      <c r="R5" s="1">
        <f t="shared" si="13"/>
        <v>12</v>
      </c>
      <c r="S5" s="1">
        <f t="shared" si="14"/>
        <v>6</v>
      </c>
    </row>
    <row r="6" spans="1:19" x14ac:dyDescent="0.35">
      <c r="A6" t="s">
        <v>7</v>
      </c>
      <c r="B6" t="s">
        <v>2</v>
      </c>
      <c r="C6" t="s">
        <v>1</v>
      </c>
      <c r="D6" s="1">
        <v>20</v>
      </c>
      <c r="E6" s="1">
        <f t="shared" si="0"/>
        <v>22</v>
      </c>
      <c r="F6" s="1">
        <f t="shared" si="1"/>
        <v>24</v>
      </c>
      <c r="G6" s="1">
        <f t="shared" si="2"/>
        <v>26</v>
      </c>
      <c r="H6" s="1">
        <f t="shared" si="3"/>
        <v>28</v>
      </c>
      <c r="I6" s="1">
        <f t="shared" si="4"/>
        <v>30</v>
      </c>
      <c r="J6" s="1">
        <f t="shared" si="5"/>
        <v>32</v>
      </c>
      <c r="K6" s="1">
        <f t="shared" si="6"/>
        <v>36</v>
      </c>
      <c r="L6" s="1">
        <f t="shared" si="7"/>
        <v>40</v>
      </c>
      <c r="M6" s="1">
        <f t="shared" si="8"/>
        <v>18</v>
      </c>
      <c r="N6" s="1">
        <f t="shared" si="9"/>
        <v>16</v>
      </c>
      <c r="O6" s="1">
        <f t="shared" si="10"/>
        <v>14</v>
      </c>
      <c r="P6" s="1">
        <f t="shared" si="11"/>
        <v>12</v>
      </c>
      <c r="Q6" s="1">
        <f t="shared" si="12"/>
        <v>10</v>
      </c>
      <c r="R6" s="1">
        <f t="shared" si="13"/>
        <v>8</v>
      </c>
      <c r="S6" s="1">
        <f t="shared" si="14"/>
        <v>4</v>
      </c>
    </row>
    <row r="7" spans="1:19" x14ac:dyDescent="0.35">
      <c r="D7" s="1"/>
    </row>
    <row r="9" spans="1:19" x14ac:dyDescent="0.35"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x14ac:dyDescent="0.35"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x14ac:dyDescent="0.35"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x14ac:dyDescent="0.35"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x14ac:dyDescent="0.35"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x14ac:dyDescent="0.35">
      <c r="D14" s="1"/>
    </row>
  </sheetData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prices</vt:lpstr>
      <vt:lpstr>demands</vt:lpstr>
      <vt:lpstr>supply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oliver</dc:creator>
  <cp:lastModifiedBy>Linsel, Oliver</cp:lastModifiedBy>
  <dcterms:created xsi:type="dcterms:W3CDTF">2015-06-05T18:19:34Z</dcterms:created>
  <dcterms:modified xsi:type="dcterms:W3CDTF">2026-05-20T13:40:18Z</dcterms:modified>
</cp:coreProperties>
</file>