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oliver\Documents\RUB\01_Projekte\IGC_NRW\Arbeitspakete\IGC_model\econ_module\data\h2bb\"/>
    </mc:Choice>
  </mc:AlternateContent>
  <xr:revisionPtr revIDLastSave="0" documentId="13_ncr:1_{67A1B3B3-ED45-49DA-A973-96FDDA323D78}" xr6:coauthVersionLast="47" xr6:coauthVersionMax="47" xr10:uidLastSave="{00000000-0000-0000-0000-000000000000}"/>
  <bookViews>
    <workbookView xWindow="28680" yWindow="-4725" windowWidth="29040" windowHeight="15720" activeTab="1" xr2:uid="{00000000-000D-0000-FFFF-FFFF00000000}"/>
  </bookViews>
  <sheets>
    <sheet name="prices" sheetId="1" r:id="rId1"/>
    <sheet name="demands" sheetId="2" r:id="rId2"/>
    <sheet name="suppl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F3" i="3"/>
  <c r="G3" i="3"/>
  <c r="H3" i="3"/>
  <c r="I3" i="3"/>
  <c r="J3" i="3"/>
  <c r="K3" i="3"/>
  <c r="L3" i="3"/>
  <c r="M3" i="3"/>
  <c r="N3" i="3"/>
  <c r="E4" i="3"/>
  <c r="F4" i="3"/>
  <c r="G4" i="3"/>
  <c r="H4" i="3"/>
  <c r="I4" i="3"/>
  <c r="J4" i="3"/>
  <c r="K4" i="3"/>
  <c r="L4" i="3"/>
  <c r="M4" i="3"/>
  <c r="N4" i="3"/>
  <c r="E5" i="3"/>
  <c r="F5" i="3"/>
  <c r="G5" i="3"/>
  <c r="H5" i="3"/>
  <c r="I5" i="3"/>
  <c r="J5" i="3"/>
  <c r="K5" i="3"/>
  <c r="L5" i="3"/>
  <c r="M5" i="3"/>
  <c r="N5" i="3"/>
  <c r="E6" i="3"/>
  <c r="F6" i="3"/>
  <c r="G6" i="3"/>
  <c r="H6" i="3"/>
  <c r="I6" i="3"/>
  <c r="J6" i="3"/>
  <c r="K6" i="3"/>
  <c r="L6" i="3"/>
  <c r="M6" i="3"/>
  <c r="N6" i="3"/>
  <c r="E7" i="3"/>
  <c r="F7" i="3"/>
  <c r="G7" i="3"/>
  <c r="H7" i="3"/>
  <c r="I7" i="3"/>
  <c r="J7" i="3"/>
  <c r="K7" i="3"/>
  <c r="L7" i="3"/>
  <c r="M7" i="3"/>
  <c r="N7" i="3"/>
  <c r="E8" i="3"/>
  <c r="F8" i="3"/>
  <c r="G8" i="3"/>
  <c r="H8" i="3"/>
  <c r="I8" i="3"/>
  <c r="J8" i="3"/>
  <c r="K8" i="3"/>
  <c r="L8" i="3"/>
  <c r="M8" i="3"/>
  <c r="N8" i="3"/>
  <c r="E9" i="3"/>
  <c r="F9" i="3"/>
  <c r="G9" i="3"/>
  <c r="H9" i="3"/>
  <c r="I9" i="3"/>
  <c r="J9" i="3"/>
  <c r="K9" i="3"/>
  <c r="L9" i="3"/>
  <c r="M9" i="3"/>
  <c r="N9" i="3"/>
  <c r="E10" i="3"/>
  <c r="F10" i="3"/>
  <c r="G10" i="3"/>
  <c r="H10" i="3"/>
  <c r="I10" i="3"/>
  <c r="J10" i="3"/>
  <c r="K10" i="3"/>
  <c r="L10" i="3"/>
  <c r="M10" i="3"/>
  <c r="N10" i="3"/>
  <c r="E11" i="3"/>
  <c r="F11" i="3"/>
  <c r="G11" i="3"/>
  <c r="H11" i="3"/>
  <c r="I11" i="3"/>
  <c r="J11" i="3"/>
  <c r="K11" i="3"/>
  <c r="L11" i="3"/>
  <c r="M11" i="3"/>
  <c r="N11" i="3"/>
  <c r="E12" i="3"/>
  <c r="F12" i="3"/>
  <c r="G12" i="3"/>
  <c r="H12" i="3"/>
  <c r="I12" i="3"/>
  <c r="J12" i="3"/>
  <c r="K12" i="3"/>
  <c r="L12" i="3"/>
  <c r="M12" i="3"/>
  <c r="N12" i="3"/>
  <c r="E13" i="3"/>
  <c r="F13" i="3"/>
  <c r="G13" i="3"/>
  <c r="H13" i="3"/>
  <c r="I13" i="3"/>
  <c r="J13" i="3"/>
  <c r="K13" i="3"/>
  <c r="L13" i="3"/>
  <c r="M13" i="3"/>
  <c r="N13" i="3"/>
  <c r="E14" i="3"/>
  <c r="F14" i="3"/>
  <c r="G14" i="3"/>
  <c r="H14" i="3"/>
  <c r="I14" i="3"/>
  <c r="J14" i="3"/>
  <c r="K14" i="3"/>
  <c r="L14" i="3"/>
  <c r="M14" i="3"/>
  <c r="N14" i="3"/>
  <c r="E15" i="3"/>
  <c r="F15" i="3"/>
  <c r="G15" i="3"/>
  <c r="H15" i="3"/>
  <c r="I15" i="3"/>
  <c r="J15" i="3"/>
  <c r="K15" i="3"/>
  <c r="L15" i="3"/>
  <c r="M15" i="3"/>
  <c r="N15" i="3"/>
  <c r="E16" i="3"/>
  <c r="F16" i="3"/>
  <c r="G16" i="3"/>
  <c r="H16" i="3"/>
  <c r="I16" i="3"/>
  <c r="J16" i="3"/>
  <c r="K16" i="3"/>
  <c r="L16" i="3"/>
  <c r="M16" i="3"/>
  <c r="N16" i="3"/>
  <c r="E17" i="3"/>
  <c r="F17" i="3"/>
  <c r="G17" i="3"/>
  <c r="H17" i="3"/>
  <c r="I17" i="3"/>
  <c r="J17" i="3"/>
  <c r="K17" i="3"/>
  <c r="L17" i="3"/>
  <c r="M17" i="3"/>
  <c r="N17" i="3"/>
  <c r="E18" i="3"/>
  <c r="F18" i="3"/>
  <c r="G18" i="3"/>
  <c r="H18" i="3"/>
  <c r="I18" i="3"/>
  <c r="J18" i="3"/>
  <c r="K18" i="3"/>
  <c r="L18" i="3"/>
  <c r="M18" i="3"/>
  <c r="N18" i="3"/>
  <c r="E19" i="3"/>
  <c r="F19" i="3"/>
  <c r="G19" i="3"/>
  <c r="H19" i="3"/>
  <c r="I19" i="3"/>
  <c r="J19" i="3"/>
  <c r="K19" i="3"/>
  <c r="L19" i="3"/>
  <c r="M19" i="3"/>
  <c r="N19" i="3"/>
  <c r="E20" i="3"/>
  <c r="F20" i="3"/>
  <c r="G20" i="3"/>
  <c r="H20" i="3"/>
  <c r="I20" i="3"/>
  <c r="J20" i="3"/>
  <c r="K20" i="3"/>
  <c r="L20" i="3"/>
  <c r="M20" i="3"/>
  <c r="N20" i="3"/>
  <c r="E21" i="3"/>
  <c r="F21" i="3"/>
  <c r="G21" i="3"/>
  <c r="H21" i="3"/>
  <c r="I21" i="3"/>
  <c r="J21" i="3"/>
  <c r="K21" i="3"/>
  <c r="L21" i="3"/>
  <c r="M21" i="3"/>
  <c r="N21" i="3"/>
  <c r="E22" i="3"/>
  <c r="F22" i="3"/>
  <c r="G22" i="3"/>
  <c r="H22" i="3"/>
  <c r="I22" i="3"/>
  <c r="J22" i="3"/>
  <c r="K22" i="3"/>
  <c r="L22" i="3"/>
  <c r="M22" i="3"/>
  <c r="N22" i="3"/>
  <c r="E23" i="3"/>
  <c r="F23" i="3"/>
  <c r="G23" i="3"/>
  <c r="H23" i="3"/>
  <c r="I23" i="3"/>
  <c r="J23" i="3"/>
  <c r="K23" i="3"/>
  <c r="L23" i="3"/>
  <c r="M23" i="3"/>
  <c r="N23" i="3"/>
  <c r="E24" i="3"/>
  <c r="F24" i="3"/>
  <c r="G24" i="3"/>
  <c r="H24" i="3"/>
  <c r="I24" i="3"/>
  <c r="J24" i="3"/>
  <c r="K24" i="3"/>
  <c r="L24" i="3"/>
  <c r="M24" i="3"/>
  <c r="N24" i="3"/>
  <c r="E25" i="3"/>
  <c r="F25" i="3"/>
  <c r="G25" i="3"/>
  <c r="H25" i="3"/>
  <c r="I25" i="3"/>
  <c r="J25" i="3"/>
  <c r="K25" i="3"/>
  <c r="L25" i="3"/>
  <c r="M25" i="3"/>
  <c r="N25" i="3"/>
  <c r="E26" i="3"/>
  <c r="F26" i="3"/>
  <c r="G26" i="3"/>
  <c r="H26" i="3"/>
  <c r="I26" i="3"/>
  <c r="J26" i="3"/>
  <c r="K26" i="3"/>
  <c r="L26" i="3"/>
  <c r="M26" i="3"/>
  <c r="N26" i="3"/>
  <c r="E27" i="3"/>
  <c r="F27" i="3"/>
  <c r="G27" i="3"/>
  <c r="H27" i="3"/>
  <c r="I27" i="3"/>
  <c r="J27" i="3"/>
  <c r="K27" i="3"/>
  <c r="L27" i="3"/>
  <c r="M27" i="3"/>
  <c r="N27" i="3"/>
  <c r="E28" i="3"/>
  <c r="F28" i="3"/>
  <c r="G28" i="3"/>
  <c r="H28" i="3"/>
  <c r="I28" i="3"/>
  <c r="J28" i="3"/>
  <c r="K28" i="3"/>
  <c r="L28" i="3"/>
  <c r="M28" i="3"/>
  <c r="N28" i="3"/>
  <c r="E29" i="3"/>
  <c r="F29" i="3"/>
  <c r="G29" i="3"/>
  <c r="H29" i="3"/>
  <c r="I29" i="3"/>
  <c r="J29" i="3"/>
  <c r="K29" i="3"/>
  <c r="L29" i="3"/>
  <c r="M29" i="3"/>
  <c r="N29" i="3"/>
  <c r="E30" i="3"/>
  <c r="F30" i="3"/>
  <c r="G30" i="3"/>
  <c r="H30" i="3"/>
  <c r="I30" i="3"/>
  <c r="J30" i="3"/>
  <c r="K30" i="3"/>
  <c r="L30" i="3"/>
  <c r="M30" i="3"/>
  <c r="N30" i="3"/>
  <c r="E31" i="3"/>
  <c r="F31" i="3"/>
  <c r="G31" i="3"/>
  <c r="H31" i="3"/>
  <c r="I31" i="3"/>
  <c r="J31" i="3"/>
  <c r="K31" i="3"/>
  <c r="L31" i="3"/>
  <c r="M31" i="3"/>
  <c r="N31" i="3"/>
  <c r="E32" i="3"/>
  <c r="F32" i="3"/>
  <c r="G32" i="3"/>
  <c r="H32" i="3"/>
  <c r="I32" i="3"/>
  <c r="J32" i="3"/>
  <c r="K32" i="3"/>
  <c r="L32" i="3"/>
  <c r="M32" i="3"/>
  <c r="N32" i="3"/>
  <c r="E33" i="3"/>
  <c r="F33" i="3"/>
  <c r="G33" i="3"/>
  <c r="H33" i="3"/>
  <c r="I33" i="3"/>
  <c r="J33" i="3"/>
  <c r="K33" i="3"/>
  <c r="L33" i="3"/>
  <c r="M33" i="3"/>
  <c r="N33" i="3"/>
  <c r="E34" i="3"/>
  <c r="F34" i="3"/>
  <c r="G34" i="3"/>
  <c r="H34" i="3"/>
  <c r="I34" i="3"/>
  <c r="J34" i="3"/>
  <c r="K34" i="3"/>
  <c r="L34" i="3"/>
  <c r="M34" i="3"/>
  <c r="N34" i="3"/>
  <c r="E35" i="3"/>
  <c r="F35" i="3"/>
  <c r="G35" i="3"/>
  <c r="H35" i="3"/>
  <c r="I35" i="3"/>
  <c r="J35" i="3"/>
  <c r="K35" i="3"/>
  <c r="L35" i="3"/>
  <c r="M35" i="3"/>
  <c r="N35" i="3"/>
  <c r="E36" i="3"/>
  <c r="F36" i="3"/>
  <c r="G36" i="3"/>
  <c r="H36" i="3"/>
  <c r="I36" i="3"/>
  <c r="J36" i="3"/>
  <c r="K36" i="3"/>
  <c r="L36" i="3"/>
  <c r="M36" i="3"/>
  <c r="N36" i="3"/>
  <c r="E37" i="3"/>
  <c r="F37" i="3"/>
  <c r="G37" i="3"/>
  <c r="H37" i="3"/>
  <c r="I37" i="3"/>
  <c r="J37" i="3"/>
  <c r="K37" i="3"/>
  <c r="L37" i="3"/>
  <c r="M37" i="3"/>
  <c r="N37" i="3"/>
  <c r="E38" i="3"/>
  <c r="F38" i="3"/>
  <c r="G38" i="3"/>
  <c r="H38" i="3"/>
  <c r="I38" i="3"/>
  <c r="J38" i="3"/>
  <c r="K38" i="3"/>
  <c r="L38" i="3"/>
  <c r="M38" i="3"/>
  <c r="N38" i="3"/>
  <c r="E39" i="3"/>
  <c r="F39" i="3"/>
  <c r="G39" i="3"/>
  <c r="H39" i="3"/>
  <c r="I39" i="3"/>
  <c r="J39" i="3"/>
  <c r="K39" i="3"/>
  <c r="L39" i="3"/>
  <c r="M39" i="3"/>
  <c r="N39" i="3"/>
  <c r="E40" i="3"/>
  <c r="F40" i="3"/>
  <c r="G40" i="3"/>
  <c r="H40" i="3"/>
  <c r="I40" i="3"/>
  <c r="J40" i="3"/>
  <c r="K40" i="3"/>
  <c r="L40" i="3"/>
  <c r="M40" i="3"/>
  <c r="N40" i="3"/>
  <c r="E41" i="3"/>
  <c r="F41" i="3"/>
  <c r="G41" i="3"/>
  <c r="H41" i="3"/>
  <c r="I41" i="3"/>
  <c r="J41" i="3"/>
  <c r="K41" i="3"/>
  <c r="L41" i="3"/>
  <c r="M41" i="3"/>
  <c r="N41" i="3"/>
  <c r="E42" i="3"/>
  <c r="F42" i="3"/>
  <c r="G42" i="3"/>
  <c r="H42" i="3"/>
  <c r="I42" i="3"/>
  <c r="J42" i="3"/>
  <c r="K42" i="3"/>
  <c r="L42" i="3"/>
  <c r="M42" i="3"/>
  <c r="N42" i="3"/>
  <c r="E43" i="3"/>
  <c r="F43" i="3"/>
  <c r="G43" i="3"/>
  <c r="H43" i="3"/>
  <c r="I43" i="3"/>
  <c r="J43" i="3"/>
  <c r="K43" i="3"/>
  <c r="L43" i="3"/>
  <c r="M43" i="3"/>
  <c r="N43" i="3"/>
  <c r="E44" i="3"/>
  <c r="F44" i="3"/>
  <c r="G44" i="3"/>
  <c r="H44" i="3"/>
  <c r="I44" i="3"/>
  <c r="J44" i="3"/>
  <c r="K44" i="3"/>
  <c r="L44" i="3"/>
  <c r="M44" i="3"/>
  <c r="N44" i="3"/>
  <c r="E45" i="3"/>
  <c r="F45" i="3"/>
  <c r="G45" i="3"/>
  <c r="H45" i="3"/>
  <c r="I45" i="3"/>
  <c r="J45" i="3"/>
  <c r="K45" i="3"/>
  <c r="L45" i="3"/>
  <c r="M45" i="3"/>
  <c r="N45" i="3"/>
  <c r="E46" i="3"/>
  <c r="F46" i="3"/>
  <c r="G46" i="3"/>
  <c r="H46" i="3"/>
  <c r="I46" i="3"/>
  <c r="J46" i="3"/>
  <c r="K46" i="3"/>
  <c r="L46" i="3"/>
  <c r="M46" i="3"/>
  <c r="N46" i="3"/>
  <c r="E47" i="3"/>
  <c r="F47" i="3"/>
  <c r="G47" i="3"/>
  <c r="H47" i="3"/>
  <c r="I47" i="3"/>
  <c r="J47" i="3"/>
  <c r="K47" i="3"/>
  <c r="L47" i="3"/>
  <c r="M47" i="3"/>
  <c r="N47" i="3"/>
  <c r="E48" i="3"/>
  <c r="F48" i="3"/>
  <c r="G48" i="3"/>
  <c r="H48" i="3"/>
  <c r="I48" i="3"/>
  <c r="J48" i="3"/>
  <c r="K48" i="3"/>
  <c r="L48" i="3"/>
  <c r="M48" i="3"/>
  <c r="N48" i="3"/>
  <c r="E49" i="3"/>
  <c r="F49" i="3"/>
  <c r="G49" i="3"/>
  <c r="H49" i="3"/>
  <c r="I49" i="3"/>
  <c r="J49" i="3"/>
  <c r="K49" i="3"/>
  <c r="L49" i="3"/>
  <c r="M49" i="3"/>
  <c r="N49" i="3"/>
  <c r="E50" i="3"/>
  <c r="F50" i="3"/>
  <c r="G50" i="3"/>
  <c r="H50" i="3"/>
  <c r="I50" i="3"/>
  <c r="J50" i="3"/>
  <c r="K50" i="3"/>
  <c r="L50" i="3"/>
  <c r="M50" i="3"/>
  <c r="N50" i="3"/>
  <c r="E51" i="3"/>
  <c r="F51" i="3"/>
  <c r="G51" i="3"/>
  <c r="H51" i="3"/>
  <c r="I51" i="3"/>
  <c r="J51" i="3"/>
  <c r="K51" i="3"/>
  <c r="L51" i="3"/>
  <c r="M51" i="3"/>
  <c r="N51" i="3"/>
  <c r="E52" i="3"/>
  <c r="F52" i="3"/>
  <c r="G52" i="3"/>
  <c r="H52" i="3"/>
  <c r="I52" i="3"/>
  <c r="J52" i="3"/>
  <c r="K52" i="3"/>
  <c r="L52" i="3"/>
  <c r="M52" i="3"/>
  <c r="N52" i="3"/>
  <c r="E53" i="3"/>
  <c r="F53" i="3"/>
  <c r="G53" i="3"/>
  <c r="H53" i="3"/>
  <c r="I53" i="3"/>
  <c r="J53" i="3"/>
  <c r="K53" i="3"/>
  <c r="L53" i="3"/>
  <c r="M53" i="3"/>
  <c r="N53" i="3"/>
  <c r="E54" i="3"/>
  <c r="F54" i="3"/>
  <c r="G54" i="3"/>
  <c r="H54" i="3"/>
  <c r="I54" i="3"/>
  <c r="J54" i="3"/>
  <c r="K54" i="3"/>
  <c r="L54" i="3"/>
  <c r="M54" i="3"/>
  <c r="N54" i="3"/>
  <c r="E55" i="3"/>
  <c r="F55" i="3"/>
  <c r="G55" i="3"/>
  <c r="H55" i="3"/>
  <c r="I55" i="3"/>
  <c r="J55" i="3"/>
  <c r="K55" i="3"/>
  <c r="L55" i="3"/>
  <c r="M55" i="3"/>
  <c r="N55" i="3"/>
  <c r="E56" i="3"/>
  <c r="F56" i="3"/>
  <c r="G56" i="3"/>
  <c r="H56" i="3"/>
  <c r="I56" i="3"/>
  <c r="J56" i="3"/>
  <c r="K56" i="3"/>
  <c r="L56" i="3"/>
  <c r="M56" i="3"/>
  <c r="N56" i="3"/>
  <c r="E57" i="3"/>
  <c r="F57" i="3"/>
  <c r="G57" i="3"/>
  <c r="H57" i="3"/>
  <c r="I57" i="3"/>
  <c r="J57" i="3"/>
  <c r="K57" i="3"/>
  <c r="L57" i="3"/>
  <c r="M57" i="3"/>
  <c r="N57" i="3"/>
  <c r="E58" i="3"/>
  <c r="F58" i="3"/>
  <c r="G58" i="3"/>
  <c r="H58" i="3"/>
  <c r="I58" i="3"/>
  <c r="J58" i="3"/>
  <c r="K58" i="3"/>
  <c r="L58" i="3"/>
  <c r="M58" i="3"/>
  <c r="N58" i="3"/>
  <c r="E59" i="3"/>
  <c r="F59" i="3"/>
  <c r="G59" i="3"/>
  <c r="H59" i="3"/>
  <c r="I59" i="3"/>
  <c r="J59" i="3"/>
  <c r="K59" i="3"/>
  <c r="L59" i="3"/>
  <c r="M59" i="3"/>
  <c r="N59" i="3"/>
  <c r="E60" i="3"/>
  <c r="F60" i="3"/>
  <c r="G60" i="3"/>
  <c r="H60" i="3"/>
  <c r="I60" i="3"/>
  <c r="J60" i="3"/>
  <c r="K60" i="3"/>
  <c r="L60" i="3"/>
  <c r="M60" i="3"/>
  <c r="N60" i="3"/>
  <c r="E61" i="3"/>
  <c r="F61" i="3"/>
  <c r="G61" i="3"/>
  <c r="H61" i="3"/>
  <c r="I61" i="3"/>
  <c r="J61" i="3"/>
  <c r="K61" i="3"/>
  <c r="L61" i="3"/>
  <c r="M61" i="3"/>
  <c r="N61" i="3"/>
  <c r="E62" i="3"/>
  <c r="F62" i="3"/>
  <c r="G62" i="3"/>
  <c r="H62" i="3"/>
  <c r="I62" i="3"/>
  <c r="J62" i="3"/>
  <c r="K62" i="3"/>
  <c r="L62" i="3"/>
  <c r="M62" i="3"/>
  <c r="N62" i="3"/>
  <c r="E63" i="3"/>
  <c r="F63" i="3"/>
  <c r="G63" i="3"/>
  <c r="H63" i="3"/>
  <c r="I63" i="3"/>
  <c r="J63" i="3"/>
  <c r="K63" i="3"/>
  <c r="L63" i="3"/>
  <c r="M63" i="3"/>
  <c r="N63" i="3"/>
  <c r="E64" i="3"/>
  <c r="F64" i="3"/>
  <c r="G64" i="3"/>
  <c r="H64" i="3"/>
  <c r="I64" i="3"/>
  <c r="J64" i="3"/>
  <c r="K64" i="3"/>
  <c r="L64" i="3"/>
  <c r="M64" i="3"/>
  <c r="N64" i="3"/>
  <c r="E65" i="3"/>
  <c r="F65" i="3"/>
  <c r="G65" i="3"/>
  <c r="H65" i="3"/>
  <c r="I65" i="3"/>
  <c r="J65" i="3"/>
  <c r="K65" i="3"/>
  <c r="L65" i="3"/>
  <c r="M65" i="3"/>
  <c r="N65" i="3"/>
  <c r="E66" i="3"/>
  <c r="F66" i="3"/>
  <c r="G66" i="3"/>
  <c r="H66" i="3"/>
  <c r="I66" i="3"/>
  <c r="J66" i="3"/>
  <c r="K66" i="3"/>
  <c r="L66" i="3"/>
  <c r="M66" i="3"/>
  <c r="N66" i="3"/>
  <c r="E67" i="3"/>
  <c r="F67" i="3"/>
  <c r="G67" i="3"/>
  <c r="H67" i="3"/>
  <c r="I67" i="3"/>
  <c r="J67" i="3"/>
  <c r="K67" i="3"/>
  <c r="L67" i="3"/>
  <c r="M67" i="3"/>
  <c r="N67" i="3"/>
  <c r="E68" i="3"/>
  <c r="F68" i="3"/>
  <c r="G68" i="3"/>
  <c r="H68" i="3"/>
  <c r="I68" i="3"/>
  <c r="J68" i="3"/>
  <c r="K68" i="3"/>
  <c r="L68" i="3"/>
  <c r="M68" i="3"/>
  <c r="N68" i="3"/>
  <c r="E69" i="3"/>
  <c r="F69" i="3"/>
  <c r="G69" i="3"/>
  <c r="H69" i="3"/>
  <c r="I69" i="3"/>
  <c r="J69" i="3"/>
  <c r="K69" i="3"/>
  <c r="L69" i="3"/>
  <c r="M69" i="3"/>
  <c r="N69" i="3"/>
  <c r="E70" i="3"/>
  <c r="F70" i="3"/>
  <c r="G70" i="3"/>
  <c r="H70" i="3"/>
  <c r="I70" i="3"/>
  <c r="J70" i="3"/>
  <c r="K70" i="3"/>
  <c r="L70" i="3"/>
  <c r="M70" i="3"/>
  <c r="N70" i="3"/>
  <c r="E71" i="3"/>
  <c r="F71" i="3"/>
  <c r="G71" i="3"/>
  <c r="H71" i="3"/>
  <c r="I71" i="3"/>
  <c r="J71" i="3"/>
  <c r="K71" i="3"/>
  <c r="L71" i="3"/>
  <c r="M71" i="3"/>
  <c r="N71" i="3"/>
  <c r="E72" i="3"/>
  <c r="F72" i="3"/>
  <c r="G72" i="3"/>
  <c r="H72" i="3"/>
  <c r="I72" i="3"/>
  <c r="J72" i="3"/>
  <c r="K72" i="3"/>
  <c r="L72" i="3"/>
  <c r="M72" i="3"/>
  <c r="N72" i="3"/>
  <c r="E73" i="3"/>
  <c r="F73" i="3"/>
  <c r="G73" i="3"/>
  <c r="H73" i="3"/>
  <c r="I73" i="3"/>
  <c r="J73" i="3"/>
  <c r="K73" i="3"/>
  <c r="L73" i="3"/>
  <c r="M73" i="3"/>
  <c r="N73" i="3"/>
  <c r="E74" i="3"/>
  <c r="F74" i="3"/>
  <c r="G74" i="3"/>
  <c r="H74" i="3"/>
  <c r="I74" i="3"/>
  <c r="J74" i="3"/>
  <c r="K74" i="3"/>
  <c r="L74" i="3"/>
  <c r="M74" i="3"/>
  <c r="N74" i="3"/>
  <c r="E75" i="3"/>
  <c r="F75" i="3"/>
  <c r="G75" i="3"/>
  <c r="H75" i="3"/>
  <c r="I75" i="3"/>
  <c r="J75" i="3"/>
  <c r="K75" i="3"/>
  <c r="L75" i="3"/>
  <c r="M75" i="3"/>
  <c r="N75" i="3"/>
  <c r="E76" i="3"/>
  <c r="F76" i="3"/>
  <c r="G76" i="3"/>
  <c r="H76" i="3"/>
  <c r="I76" i="3"/>
  <c r="J76" i="3"/>
  <c r="K76" i="3"/>
  <c r="L76" i="3"/>
  <c r="M76" i="3"/>
  <c r="N76" i="3"/>
  <c r="E77" i="3"/>
  <c r="F77" i="3"/>
  <c r="G77" i="3"/>
  <c r="H77" i="3"/>
  <c r="I77" i="3"/>
  <c r="J77" i="3"/>
  <c r="K77" i="3"/>
  <c r="L77" i="3"/>
  <c r="M77" i="3"/>
  <c r="N77" i="3"/>
  <c r="E78" i="3"/>
  <c r="F78" i="3"/>
  <c r="G78" i="3"/>
  <c r="H78" i="3"/>
  <c r="I78" i="3"/>
  <c r="J78" i="3"/>
  <c r="K78" i="3"/>
  <c r="L78" i="3"/>
  <c r="M78" i="3"/>
  <c r="N78" i="3"/>
  <c r="E79" i="3"/>
  <c r="F79" i="3"/>
  <c r="G79" i="3"/>
  <c r="H79" i="3"/>
  <c r="I79" i="3"/>
  <c r="J79" i="3"/>
  <c r="K79" i="3"/>
  <c r="L79" i="3"/>
  <c r="M79" i="3"/>
  <c r="N79" i="3"/>
  <c r="E80" i="3"/>
  <c r="F80" i="3"/>
  <c r="G80" i="3"/>
  <c r="H80" i="3"/>
  <c r="I80" i="3"/>
  <c r="J80" i="3"/>
  <c r="K80" i="3"/>
  <c r="L80" i="3"/>
  <c r="M80" i="3"/>
  <c r="N80" i="3"/>
  <c r="E81" i="3"/>
  <c r="F81" i="3"/>
  <c r="G81" i="3"/>
  <c r="H81" i="3"/>
  <c r="I81" i="3"/>
  <c r="J81" i="3"/>
  <c r="K81" i="3"/>
  <c r="L81" i="3"/>
  <c r="M81" i="3"/>
  <c r="N81" i="3"/>
  <c r="E82" i="3"/>
  <c r="F82" i="3"/>
  <c r="G82" i="3"/>
  <c r="H82" i="3"/>
  <c r="I82" i="3"/>
  <c r="J82" i="3"/>
  <c r="K82" i="3"/>
  <c r="L82" i="3"/>
  <c r="M82" i="3"/>
  <c r="N82" i="3"/>
  <c r="E83" i="3"/>
  <c r="F83" i="3"/>
  <c r="G83" i="3"/>
  <c r="H83" i="3"/>
  <c r="I83" i="3"/>
  <c r="J83" i="3"/>
  <c r="K83" i="3"/>
  <c r="L83" i="3"/>
  <c r="M83" i="3"/>
  <c r="N83" i="3"/>
  <c r="E84" i="3"/>
  <c r="F84" i="3"/>
  <c r="G84" i="3"/>
  <c r="H84" i="3"/>
  <c r="I84" i="3"/>
  <c r="J84" i="3"/>
  <c r="K84" i="3"/>
  <c r="L84" i="3"/>
  <c r="M84" i="3"/>
  <c r="N84" i="3"/>
  <c r="E85" i="3"/>
  <c r="F85" i="3"/>
  <c r="G85" i="3"/>
  <c r="H85" i="3"/>
  <c r="I85" i="3"/>
  <c r="J85" i="3"/>
  <c r="K85" i="3"/>
  <c r="L85" i="3"/>
  <c r="M85" i="3"/>
  <c r="N85" i="3"/>
  <c r="E86" i="3"/>
  <c r="F86" i="3"/>
  <c r="G86" i="3"/>
  <c r="H86" i="3"/>
  <c r="I86" i="3"/>
  <c r="J86" i="3"/>
  <c r="K86" i="3"/>
  <c r="L86" i="3"/>
  <c r="M86" i="3"/>
  <c r="N86" i="3"/>
  <c r="E87" i="3"/>
  <c r="F87" i="3"/>
  <c r="G87" i="3"/>
  <c r="H87" i="3"/>
  <c r="I87" i="3"/>
  <c r="J87" i="3"/>
  <c r="K87" i="3"/>
  <c r="L87" i="3"/>
  <c r="M87" i="3"/>
  <c r="N87" i="3"/>
  <c r="E88" i="3"/>
  <c r="F88" i="3"/>
  <c r="G88" i="3"/>
  <c r="H88" i="3"/>
  <c r="I88" i="3"/>
  <c r="J88" i="3"/>
  <c r="K88" i="3"/>
  <c r="L88" i="3"/>
  <c r="M88" i="3"/>
  <c r="N88" i="3"/>
  <c r="E89" i="3"/>
  <c r="F89" i="3"/>
  <c r="G89" i="3"/>
  <c r="H89" i="3"/>
  <c r="I89" i="3"/>
  <c r="J89" i="3"/>
  <c r="K89" i="3"/>
  <c r="L89" i="3"/>
  <c r="M89" i="3"/>
  <c r="N89" i="3"/>
  <c r="E90" i="3"/>
  <c r="F90" i="3"/>
  <c r="G90" i="3"/>
  <c r="H90" i="3"/>
  <c r="I90" i="3"/>
  <c r="J90" i="3"/>
  <c r="K90" i="3"/>
  <c r="L90" i="3"/>
  <c r="M90" i="3"/>
  <c r="N90" i="3"/>
  <c r="E91" i="3"/>
  <c r="F91" i="3"/>
  <c r="G91" i="3"/>
  <c r="H91" i="3"/>
  <c r="I91" i="3"/>
  <c r="J91" i="3"/>
  <c r="K91" i="3"/>
  <c r="L91" i="3"/>
  <c r="M91" i="3"/>
  <c r="N91" i="3"/>
  <c r="E92" i="3"/>
  <c r="F92" i="3"/>
  <c r="G92" i="3"/>
  <c r="H92" i="3"/>
  <c r="I92" i="3"/>
  <c r="J92" i="3"/>
  <c r="K92" i="3"/>
  <c r="L92" i="3"/>
  <c r="M92" i="3"/>
  <c r="N92" i="3"/>
  <c r="E93" i="3"/>
  <c r="F93" i="3"/>
  <c r="G93" i="3"/>
  <c r="H93" i="3"/>
  <c r="I93" i="3"/>
  <c r="J93" i="3"/>
  <c r="K93" i="3"/>
  <c r="L93" i="3"/>
  <c r="M93" i="3"/>
  <c r="N93" i="3"/>
  <c r="E94" i="3"/>
  <c r="F94" i="3"/>
  <c r="G94" i="3"/>
  <c r="H94" i="3"/>
  <c r="I94" i="3"/>
  <c r="J94" i="3"/>
  <c r="K94" i="3"/>
  <c r="L94" i="3"/>
  <c r="M94" i="3"/>
  <c r="N94" i="3"/>
  <c r="E95" i="3"/>
  <c r="F95" i="3"/>
  <c r="G95" i="3"/>
  <c r="H95" i="3"/>
  <c r="I95" i="3"/>
  <c r="J95" i="3"/>
  <c r="K95" i="3"/>
  <c r="L95" i="3"/>
  <c r="M95" i="3"/>
  <c r="N95" i="3"/>
  <c r="E96" i="3"/>
  <c r="F96" i="3"/>
  <c r="G96" i="3"/>
  <c r="H96" i="3"/>
  <c r="I96" i="3"/>
  <c r="J96" i="3"/>
  <c r="K96" i="3"/>
  <c r="L96" i="3"/>
  <c r="M96" i="3"/>
  <c r="N96" i="3"/>
  <c r="E97" i="3"/>
  <c r="F97" i="3"/>
  <c r="G97" i="3"/>
  <c r="H97" i="3"/>
  <c r="I97" i="3"/>
  <c r="J97" i="3"/>
  <c r="K97" i="3"/>
  <c r="L97" i="3"/>
  <c r="M97" i="3"/>
  <c r="N97" i="3"/>
  <c r="E98" i="3"/>
  <c r="F98" i="3"/>
  <c r="G98" i="3"/>
  <c r="H98" i="3"/>
  <c r="I98" i="3"/>
  <c r="J98" i="3"/>
  <c r="K98" i="3"/>
  <c r="L98" i="3"/>
  <c r="M98" i="3"/>
  <c r="N98" i="3"/>
  <c r="E99" i="3"/>
  <c r="F99" i="3"/>
  <c r="G99" i="3"/>
  <c r="H99" i="3"/>
  <c r="I99" i="3"/>
  <c r="J99" i="3"/>
  <c r="K99" i="3"/>
  <c r="L99" i="3"/>
  <c r="M99" i="3"/>
  <c r="N99" i="3"/>
  <c r="E100" i="3"/>
  <c r="F100" i="3"/>
  <c r="G100" i="3"/>
  <c r="H100" i="3"/>
  <c r="I100" i="3"/>
  <c r="J100" i="3"/>
  <c r="K100" i="3"/>
  <c r="L100" i="3"/>
  <c r="M100" i="3"/>
  <c r="N100" i="3"/>
  <c r="E101" i="3"/>
  <c r="F101" i="3"/>
  <c r="G101" i="3"/>
  <c r="H101" i="3"/>
  <c r="I101" i="3"/>
  <c r="J101" i="3"/>
  <c r="K101" i="3"/>
  <c r="L101" i="3"/>
  <c r="M101" i="3"/>
  <c r="N101" i="3"/>
  <c r="E102" i="3"/>
  <c r="F102" i="3"/>
  <c r="G102" i="3"/>
  <c r="H102" i="3"/>
  <c r="I102" i="3"/>
  <c r="J102" i="3"/>
  <c r="K102" i="3"/>
  <c r="L102" i="3"/>
  <c r="M102" i="3"/>
  <c r="N102" i="3"/>
  <c r="E103" i="3"/>
  <c r="F103" i="3"/>
  <c r="G103" i="3"/>
  <c r="H103" i="3"/>
  <c r="I103" i="3"/>
  <c r="J103" i="3"/>
  <c r="K103" i="3"/>
  <c r="L103" i="3"/>
  <c r="M103" i="3"/>
  <c r="N103" i="3"/>
  <c r="E104" i="3"/>
  <c r="F104" i="3"/>
  <c r="G104" i="3"/>
  <c r="H104" i="3"/>
  <c r="I104" i="3"/>
  <c r="J104" i="3"/>
  <c r="K104" i="3"/>
  <c r="L104" i="3"/>
  <c r="M104" i="3"/>
  <c r="N104" i="3"/>
  <c r="E105" i="3"/>
  <c r="F105" i="3"/>
  <c r="G105" i="3"/>
  <c r="H105" i="3"/>
  <c r="I105" i="3"/>
  <c r="J105" i="3"/>
  <c r="K105" i="3"/>
  <c r="L105" i="3"/>
  <c r="M105" i="3"/>
  <c r="N105" i="3"/>
  <c r="E106" i="3"/>
  <c r="F106" i="3"/>
  <c r="G106" i="3"/>
  <c r="H106" i="3"/>
  <c r="I106" i="3"/>
  <c r="J106" i="3"/>
  <c r="K106" i="3"/>
  <c r="L106" i="3"/>
  <c r="M106" i="3"/>
  <c r="N106" i="3"/>
  <c r="E107" i="3"/>
  <c r="F107" i="3"/>
  <c r="G107" i="3"/>
  <c r="H107" i="3"/>
  <c r="I107" i="3"/>
  <c r="J107" i="3"/>
  <c r="K107" i="3"/>
  <c r="L107" i="3"/>
  <c r="M107" i="3"/>
  <c r="N107" i="3"/>
  <c r="E108" i="3"/>
  <c r="F108" i="3"/>
  <c r="G108" i="3"/>
  <c r="H108" i="3"/>
  <c r="I108" i="3"/>
  <c r="J108" i="3"/>
  <c r="K108" i="3"/>
  <c r="L108" i="3"/>
  <c r="M108" i="3"/>
  <c r="N108" i="3"/>
  <c r="E109" i="3"/>
  <c r="F109" i="3"/>
  <c r="G109" i="3"/>
  <c r="H109" i="3"/>
  <c r="I109" i="3"/>
  <c r="J109" i="3"/>
  <c r="K109" i="3"/>
  <c r="L109" i="3"/>
  <c r="M109" i="3"/>
  <c r="N109" i="3"/>
  <c r="E110" i="3"/>
  <c r="F110" i="3"/>
  <c r="G110" i="3"/>
  <c r="H110" i="3"/>
  <c r="I110" i="3"/>
  <c r="J110" i="3"/>
  <c r="K110" i="3"/>
  <c r="L110" i="3"/>
  <c r="M110" i="3"/>
  <c r="N110" i="3"/>
  <c r="E111" i="3"/>
  <c r="F111" i="3"/>
  <c r="G111" i="3"/>
  <c r="H111" i="3"/>
  <c r="I111" i="3"/>
  <c r="J111" i="3"/>
  <c r="K111" i="3"/>
  <c r="L111" i="3"/>
  <c r="M111" i="3"/>
  <c r="N111" i="3"/>
  <c r="E112" i="3"/>
  <c r="F112" i="3"/>
  <c r="G112" i="3"/>
  <c r="H112" i="3"/>
  <c r="I112" i="3"/>
  <c r="J112" i="3"/>
  <c r="K112" i="3"/>
  <c r="L112" i="3"/>
  <c r="M112" i="3"/>
  <c r="N112" i="3"/>
  <c r="E113" i="3"/>
  <c r="F113" i="3"/>
  <c r="G113" i="3"/>
  <c r="H113" i="3"/>
  <c r="I113" i="3"/>
  <c r="J113" i="3"/>
  <c r="K113" i="3"/>
  <c r="L113" i="3"/>
  <c r="M113" i="3"/>
  <c r="N113" i="3"/>
  <c r="E114" i="3"/>
  <c r="F114" i="3"/>
  <c r="G114" i="3"/>
  <c r="H114" i="3"/>
  <c r="I114" i="3"/>
  <c r="J114" i="3"/>
  <c r="K114" i="3"/>
  <c r="L114" i="3"/>
  <c r="M114" i="3"/>
  <c r="N114" i="3"/>
  <c r="E115" i="3"/>
  <c r="F115" i="3"/>
  <c r="G115" i="3"/>
  <c r="H115" i="3"/>
  <c r="I115" i="3"/>
  <c r="J115" i="3"/>
  <c r="K115" i="3"/>
  <c r="L115" i="3"/>
  <c r="M115" i="3"/>
  <c r="N115" i="3"/>
  <c r="E116" i="3"/>
  <c r="F116" i="3"/>
  <c r="G116" i="3"/>
  <c r="H116" i="3"/>
  <c r="I116" i="3"/>
  <c r="J116" i="3"/>
  <c r="K116" i="3"/>
  <c r="L116" i="3"/>
  <c r="M116" i="3"/>
  <c r="N116" i="3"/>
  <c r="E117" i="3"/>
  <c r="F117" i="3"/>
  <c r="G117" i="3"/>
  <c r="H117" i="3"/>
  <c r="I117" i="3"/>
  <c r="J117" i="3"/>
  <c r="K117" i="3"/>
  <c r="L117" i="3"/>
  <c r="M117" i="3"/>
  <c r="N117" i="3"/>
  <c r="E118" i="3"/>
  <c r="F118" i="3"/>
  <c r="G118" i="3"/>
  <c r="H118" i="3"/>
  <c r="I118" i="3"/>
  <c r="J118" i="3"/>
  <c r="K118" i="3"/>
  <c r="L118" i="3"/>
  <c r="M118" i="3"/>
  <c r="N118" i="3"/>
  <c r="E119" i="3"/>
  <c r="F119" i="3"/>
  <c r="G119" i="3"/>
  <c r="H119" i="3"/>
  <c r="I119" i="3"/>
  <c r="J119" i="3"/>
  <c r="K119" i="3"/>
  <c r="L119" i="3"/>
  <c r="M119" i="3"/>
  <c r="N119" i="3"/>
  <c r="E120" i="3"/>
  <c r="F120" i="3"/>
  <c r="G120" i="3"/>
  <c r="H120" i="3"/>
  <c r="I120" i="3"/>
  <c r="J120" i="3"/>
  <c r="K120" i="3"/>
  <c r="L120" i="3"/>
  <c r="M120" i="3"/>
  <c r="N120" i="3"/>
  <c r="E121" i="3"/>
  <c r="F121" i="3"/>
  <c r="G121" i="3"/>
  <c r="H121" i="3"/>
  <c r="I121" i="3"/>
  <c r="J121" i="3"/>
  <c r="K121" i="3"/>
  <c r="L121" i="3"/>
  <c r="M121" i="3"/>
  <c r="N121" i="3"/>
  <c r="E122" i="3"/>
  <c r="F122" i="3"/>
  <c r="G122" i="3"/>
  <c r="H122" i="3"/>
  <c r="I122" i="3"/>
  <c r="J122" i="3"/>
  <c r="K122" i="3"/>
  <c r="L122" i="3"/>
  <c r="M122" i="3"/>
  <c r="N122" i="3"/>
  <c r="E123" i="3"/>
  <c r="F123" i="3"/>
  <c r="G123" i="3"/>
  <c r="H123" i="3"/>
  <c r="I123" i="3"/>
  <c r="J123" i="3"/>
  <c r="K123" i="3"/>
  <c r="L123" i="3"/>
  <c r="M123" i="3"/>
  <c r="N123" i="3"/>
  <c r="E124" i="3"/>
  <c r="F124" i="3"/>
  <c r="G124" i="3"/>
  <c r="H124" i="3"/>
  <c r="I124" i="3"/>
  <c r="J124" i="3"/>
  <c r="K124" i="3"/>
  <c r="L124" i="3"/>
  <c r="M124" i="3"/>
  <c r="N124" i="3"/>
  <c r="E125" i="3"/>
  <c r="F125" i="3"/>
  <c r="G125" i="3"/>
  <c r="H125" i="3"/>
  <c r="I125" i="3"/>
  <c r="J125" i="3"/>
  <c r="K125" i="3"/>
  <c r="L125" i="3"/>
  <c r="M125" i="3"/>
  <c r="N125" i="3"/>
  <c r="E126" i="3"/>
  <c r="F126" i="3"/>
  <c r="G126" i="3"/>
  <c r="H126" i="3"/>
  <c r="I126" i="3"/>
  <c r="J126" i="3"/>
  <c r="K126" i="3"/>
  <c r="L126" i="3"/>
  <c r="M126" i="3"/>
  <c r="N126" i="3"/>
  <c r="E127" i="3"/>
  <c r="F127" i="3"/>
  <c r="G127" i="3"/>
  <c r="H127" i="3"/>
  <c r="I127" i="3"/>
  <c r="J127" i="3"/>
  <c r="K127" i="3"/>
  <c r="L127" i="3"/>
  <c r="M127" i="3"/>
  <c r="N127" i="3"/>
  <c r="E128" i="3"/>
  <c r="F128" i="3"/>
  <c r="G128" i="3"/>
  <c r="H128" i="3"/>
  <c r="I128" i="3"/>
  <c r="J128" i="3"/>
  <c r="K128" i="3"/>
  <c r="L128" i="3"/>
  <c r="M128" i="3"/>
  <c r="N128" i="3"/>
  <c r="E129" i="3"/>
  <c r="F129" i="3"/>
  <c r="G129" i="3"/>
  <c r="H129" i="3"/>
  <c r="I129" i="3"/>
  <c r="J129" i="3"/>
  <c r="K129" i="3"/>
  <c r="L129" i="3"/>
  <c r="M129" i="3"/>
  <c r="N129" i="3"/>
  <c r="E130" i="3"/>
  <c r="F130" i="3"/>
  <c r="G130" i="3"/>
  <c r="H130" i="3"/>
  <c r="I130" i="3"/>
  <c r="J130" i="3"/>
  <c r="K130" i="3"/>
  <c r="L130" i="3"/>
  <c r="M130" i="3"/>
  <c r="N130" i="3"/>
  <c r="E131" i="3"/>
  <c r="F131" i="3"/>
  <c r="G131" i="3"/>
  <c r="H131" i="3"/>
  <c r="I131" i="3"/>
  <c r="J131" i="3"/>
  <c r="K131" i="3"/>
  <c r="L131" i="3"/>
  <c r="M131" i="3"/>
  <c r="N131" i="3"/>
  <c r="E132" i="3"/>
  <c r="F132" i="3"/>
  <c r="G132" i="3"/>
  <c r="H132" i="3"/>
  <c r="I132" i="3"/>
  <c r="J132" i="3"/>
  <c r="K132" i="3"/>
  <c r="L132" i="3"/>
  <c r="M132" i="3"/>
  <c r="N132" i="3"/>
  <c r="E133" i="3"/>
  <c r="F133" i="3"/>
  <c r="G133" i="3"/>
  <c r="H133" i="3"/>
  <c r="I133" i="3"/>
  <c r="J133" i="3"/>
  <c r="K133" i="3"/>
  <c r="L133" i="3"/>
  <c r="M133" i="3"/>
  <c r="N133" i="3"/>
  <c r="E134" i="3"/>
  <c r="F134" i="3"/>
  <c r="G134" i="3"/>
  <c r="H134" i="3"/>
  <c r="I134" i="3"/>
  <c r="J134" i="3"/>
  <c r="K134" i="3"/>
  <c r="L134" i="3"/>
  <c r="M134" i="3"/>
  <c r="N134" i="3"/>
  <c r="E135" i="3"/>
  <c r="F135" i="3"/>
  <c r="G135" i="3"/>
  <c r="H135" i="3"/>
  <c r="I135" i="3"/>
  <c r="J135" i="3"/>
  <c r="K135" i="3"/>
  <c r="L135" i="3"/>
  <c r="M135" i="3"/>
  <c r="N135" i="3"/>
  <c r="E136" i="3"/>
  <c r="F136" i="3"/>
  <c r="G136" i="3"/>
  <c r="H136" i="3"/>
  <c r="I136" i="3"/>
  <c r="J136" i="3"/>
  <c r="K136" i="3"/>
  <c r="L136" i="3"/>
  <c r="M136" i="3"/>
  <c r="N136" i="3"/>
  <c r="E137" i="3"/>
  <c r="F137" i="3"/>
  <c r="G137" i="3"/>
  <c r="H137" i="3"/>
  <c r="I137" i="3"/>
  <c r="J137" i="3"/>
  <c r="K137" i="3"/>
  <c r="L137" i="3"/>
  <c r="M137" i="3"/>
  <c r="N137" i="3"/>
  <c r="E138" i="3"/>
  <c r="F138" i="3"/>
  <c r="G138" i="3"/>
  <c r="H138" i="3"/>
  <c r="I138" i="3"/>
  <c r="J138" i="3"/>
  <c r="K138" i="3"/>
  <c r="L138" i="3"/>
  <c r="M138" i="3"/>
  <c r="N138" i="3"/>
  <c r="E139" i="3"/>
  <c r="F139" i="3"/>
  <c r="G139" i="3"/>
  <c r="H139" i="3"/>
  <c r="I139" i="3"/>
  <c r="J139" i="3"/>
  <c r="K139" i="3"/>
  <c r="L139" i="3"/>
  <c r="M139" i="3"/>
  <c r="N139" i="3"/>
  <c r="E140" i="3"/>
  <c r="F140" i="3"/>
  <c r="G140" i="3"/>
  <c r="H140" i="3"/>
  <c r="I140" i="3"/>
  <c r="J140" i="3"/>
  <c r="K140" i="3"/>
  <c r="L140" i="3"/>
  <c r="M140" i="3"/>
  <c r="N140" i="3"/>
  <c r="E141" i="3"/>
  <c r="F141" i="3"/>
  <c r="G141" i="3"/>
  <c r="H141" i="3"/>
  <c r="I141" i="3"/>
  <c r="J141" i="3"/>
  <c r="K141" i="3"/>
  <c r="L141" i="3"/>
  <c r="M141" i="3"/>
  <c r="N141" i="3"/>
  <c r="E142" i="3"/>
  <c r="F142" i="3"/>
  <c r="G142" i="3"/>
  <c r="H142" i="3"/>
  <c r="I142" i="3"/>
  <c r="J142" i="3"/>
  <c r="K142" i="3"/>
  <c r="L142" i="3"/>
  <c r="M142" i="3"/>
  <c r="N142" i="3"/>
  <c r="E143" i="3"/>
  <c r="F143" i="3"/>
  <c r="G143" i="3"/>
  <c r="H143" i="3"/>
  <c r="I143" i="3"/>
  <c r="J143" i="3"/>
  <c r="K143" i="3"/>
  <c r="L143" i="3"/>
  <c r="M143" i="3"/>
  <c r="N143" i="3"/>
  <c r="E144" i="3"/>
  <c r="F144" i="3"/>
  <c r="G144" i="3"/>
  <c r="H144" i="3"/>
  <c r="I144" i="3"/>
  <c r="J144" i="3"/>
  <c r="K144" i="3"/>
  <c r="L144" i="3"/>
  <c r="M144" i="3"/>
  <c r="N144" i="3"/>
  <c r="E145" i="3"/>
  <c r="F145" i="3"/>
  <c r="G145" i="3"/>
  <c r="H145" i="3"/>
  <c r="I145" i="3"/>
  <c r="J145" i="3"/>
  <c r="K145" i="3"/>
  <c r="L145" i="3"/>
  <c r="M145" i="3"/>
  <c r="N145" i="3"/>
  <c r="E146" i="3"/>
  <c r="F146" i="3"/>
  <c r="G146" i="3"/>
  <c r="H146" i="3"/>
  <c r="I146" i="3"/>
  <c r="J146" i="3"/>
  <c r="K146" i="3"/>
  <c r="L146" i="3"/>
  <c r="M146" i="3"/>
  <c r="N146" i="3"/>
  <c r="E147" i="3"/>
  <c r="F147" i="3"/>
  <c r="G147" i="3"/>
  <c r="H147" i="3"/>
  <c r="I147" i="3"/>
  <c r="J147" i="3"/>
  <c r="K147" i="3"/>
  <c r="L147" i="3"/>
  <c r="M147" i="3"/>
  <c r="N147" i="3"/>
  <c r="E148" i="3"/>
  <c r="F148" i="3"/>
  <c r="G148" i="3"/>
  <c r="H148" i="3"/>
  <c r="I148" i="3"/>
  <c r="J148" i="3"/>
  <c r="K148" i="3"/>
  <c r="L148" i="3"/>
  <c r="M148" i="3"/>
  <c r="N148" i="3"/>
  <c r="E149" i="3"/>
  <c r="F149" i="3"/>
  <c r="G149" i="3"/>
  <c r="H149" i="3"/>
  <c r="I149" i="3"/>
  <c r="J149" i="3"/>
  <c r="K149" i="3"/>
  <c r="L149" i="3"/>
  <c r="M149" i="3"/>
  <c r="N149" i="3"/>
  <c r="E150" i="3"/>
  <c r="F150" i="3"/>
  <c r="G150" i="3"/>
  <c r="H150" i="3"/>
  <c r="I150" i="3"/>
  <c r="J150" i="3"/>
  <c r="K150" i="3"/>
  <c r="L150" i="3"/>
  <c r="M150" i="3"/>
  <c r="N150" i="3"/>
  <c r="E151" i="3"/>
  <c r="F151" i="3"/>
  <c r="G151" i="3"/>
  <c r="H151" i="3"/>
  <c r="I151" i="3"/>
  <c r="J151" i="3"/>
  <c r="K151" i="3"/>
  <c r="L151" i="3"/>
  <c r="M151" i="3"/>
  <c r="N151" i="3"/>
  <c r="E152" i="3"/>
  <c r="F152" i="3"/>
  <c r="G152" i="3"/>
  <c r="H152" i="3"/>
  <c r="I152" i="3"/>
  <c r="J152" i="3"/>
  <c r="K152" i="3"/>
  <c r="L152" i="3"/>
  <c r="M152" i="3"/>
  <c r="N152" i="3"/>
  <c r="E153" i="3"/>
  <c r="F153" i="3"/>
  <c r="G153" i="3"/>
  <c r="H153" i="3"/>
  <c r="I153" i="3"/>
  <c r="J153" i="3"/>
  <c r="K153" i="3"/>
  <c r="L153" i="3"/>
  <c r="M153" i="3"/>
  <c r="N153" i="3"/>
  <c r="E154" i="3"/>
  <c r="F154" i="3"/>
  <c r="G154" i="3"/>
  <c r="H154" i="3"/>
  <c r="I154" i="3"/>
  <c r="J154" i="3"/>
  <c r="K154" i="3"/>
  <c r="L154" i="3"/>
  <c r="M154" i="3"/>
  <c r="N154" i="3"/>
  <c r="E155" i="3"/>
  <c r="F155" i="3"/>
  <c r="G155" i="3"/>
  <c r="H155" i="3"/>
  <c r="I155" i="3"/>
  <c r="J155" i="3"/>
  <c r="K155" i="3"/>
  <c r="L155" i="3"/>
  <c r="M155" i="3"/>
  <c r="N155" i="3"/>
  <c r="E156" i="3"/>
  <c r="F156" i="3"/>
  <c r="G156" i="3"/>
  <c r="H156" i="3"/>
  <c r="I156" i="3"/>
  <c r="J156" i="3"/>
  <c r="K156" i="3"/>
  <c r="L156" i="3"/>
  <c r="M156" i="3"/>
  <c r="N156" i="3"/>
  <c r="E157" i="3"/>
  <c r="F157" i="3"/>
  <c r="G157" i="3"/>
  <c r="H157" i="3"/>
  <c r="I157" i="3"/>
  <c r="J157" i="3"/>
  <c r="K157" i="3"/>
  <c r="L157" i="3"/>
  <c r="M157" i="3"/>
  <c r="N157" i="3"/>
  <c r="E158" i="3"/>
  <c r="F158" i="3"/>
  <c r="G158" i="3"/>
  <c r="H158" i="3"/>
  <c r="I158" i="3"/>
  <c r="J158" i="3"/>
  <c r="K158" i="3"/>
  <c r="L158" i="3"/>
  <c r="M158" i="3"/>
  <c r="N158" i="3"/>
  <c r="E159" i="3"/>
  <c r="F159" i="3"/>
  <c r="G159" i="3"/>
  <c r="H159" i="3"/>
  <c r="I159" i="3"/>
  <c r="J159" i="3"/>
  <c r="K159" i="3"/>
  <c r="L159" i="3"/>
  <c r="M159" i="3"/>
  <c r="N159" i="3"/>
  <c r="E160" i="3"/>
  <c r="F160" i="3"/>
  <c r="G160" i="3"/>
  <c r="H160" i="3"/>
  <c r="I160" i="3"/>
  <c r="J160" i="3"/>
  <c r="K160" i="3"/>
  <c r="L160" i="3"/>
  <c r="M160" i="3"/>
  <c r="N160" i="3"/>
  <c r="E3" i="2"/>
  <c r="F3" i="2"/>
  <c r="G3" i="2"/>
  <c r="H3" i="2"/>
  <c r="I3" i="2"/>
  <c r="J3" i="2"/>
  <c r="K3" i="2"/>
  <c r="L3" i="2"/>
  <c r="M3" i="2"/>
  <c r="N3" i="2"/>
  <c r="E4" i="2"/>
  <c r="F4" i="2"/>
  <c r="G4" i="2"/>
  <c r="H4" i="2"/>
  <c r="I4" i="2"/>
  <c r="J4" i="2"/>
  <c r="K4" i="2"/>
  <c r="L4" i="2"/>
  <c r="M4" i="2"/>
  <c r="N4" i="2"/>
  <c r="E5" i="2"/>
  <c r="F5" i="2"/>
  <c r="G5" i="2"/>
  <c r="H5" i="2"/>
  <c r="I5" i="2"/>
  <c r="J5" i="2"/>
  <c r="K5" i="2"/>
  <c r="L5" i="2"/>
  <c r="M5" i="2"/>
  <c r="N5" i="2"/>
  <c r="E6" i="2"/>
  <c r="F6" i="2"/>
  <c r="G6" i="2"/>
  <c r="H6" i="2"/>
  <c r="I6" i="2"/>
  <c r="J6" i="2"/>
  <c r="K6" i="2"/>
  <c r="L6" i="2"/>
  <c r="M6" i="2"/>
  <c r="N6" i="2"/>
  <c r="E7" i="2"/>
  <c r="F7" i="2"/>
  <c r="G7" i="2"/>
  <c r="H7" i="2"/>
  <c r="I7" i="2"/>
  <c r="J7" i="2"/>
  <c r="K7" i="2"/>
  <c r="L7" i="2"/>
  <c r="M7" i="2"/>
  <c r="N7" i="2"/>
  <c r="E8" i="2"/>
  <c r="F8" i="2"/>
  <c r="G8" i="2"/>
  <c r="H8" i="2"/>
  <c r="I8" i="2"/>
  <c r="J8" i="2"/>
  <c r="K8" i="2"/>
  <c r="L8" i="2"/>
  <c r="M8" i="2"/>
  <c r="N8" i="2"/>
  <c r="E9" i="2"/>
  <c r="F9" i="2"/>
  <c r="G9" i="2"/>
  <c r="H9" i="2"/>
  <c r="I9" i="2"/>
  <c r="J9" i="2"/>
  <c r="K9" i="2"/>
  <c r="L9" i="2"/>
  <c r="M9" i="2"/>
  <c r="N9" i="2"/>
  <c r="E10" i="2"/>
  <c r="F10" i="2"/>
  <c r="G10" i="2"/>
  <c r="H10" i="2"/>
  <c r="I10" i="2"/>
  <c r="J10" i="2"/>
  <c r="K10" i="2"/>
  <c r="L10" i="2"/>
  <c r="M10" i="2"/>
  <c r="N10" i="2"/>
  <c r="E11" i="2"/>
  <c r="F11" i="2"/>
  <c r="G11" i="2"/>
  <c r="H11" i="2"/>
  <c r="I11" i="2"/>
  <c r="J11" i="2"/>
  <c r="K11" i="2"/>
  <c r="L11" i="2"/>
  <c r="M11" i="2"/>
  <c r="N11" i="2"/>
  <c r="E12" i="2"/>
  <c r="F12" i="2"/>
  <c r="G12" i="2"/>
  <c r="H12" i="2"/>
  <c r="I12" i="2"/>
  <c r="J12" i="2"/>
  <c r="K12" i="2"/>
  <c r="L12" i="2"/>
  <c r="M12" i="2"/>
  <c r="N12" i="2"/>
  <c r="E13" i="2"/>
  <c r="F13" i="2"/>
  <c r="G13" i="2"/>
  <c r="H13" i="2"/>
  <c r="I13" i="2"/>
  <c r="J13" i="2"/>
  <c r="K13" i="2"/>
  <c r="L13" i="2"/>
  <c r="M13" i="2"/>
  <c r="N13" i="2"/>
  <c r="E14" i="2"/>
  <c r="F14" i="2"/>
  <c r="G14" i="2"/>
  <c r="H14" i="2"/>
  <c r="I14" i="2"/>
  <c r="J14" i="2"/>
  <c r="K14" i="2"/>
  <c r="L14" i="2"/>
  <c r="M14" i="2"/>
  <c r="N14" i="2"/>
  <c r="E15" i="2"/>
  <c r="F15" i="2"/>
  <c r="G15" i="2"/>
  <c r="H15" i="2"/>
  <c r="I15" i="2"/>
  <c r="J15" i="2"/>
  <c r="K15" i="2"/>
  <c r="L15" i="2"/>
  <c r="M15" i="2"/>
  <c r="N15" i="2"/>
  <c r="E16" i="2"/>
  <c r="F16" i="2"/>
  <c r="G16" i="2"/>
  <c r="H16" i="2"/>
  <c r="I16" i="2"/>
  <c r="J16" i="2"/>
  <c r="K16" i="2"/>
  <c r="L16" i="2"/>
  <c r="M16" i="2"/>
  <c r="N16" i="2"/>
  <c r="E17" i="2"/>
  <c r="F17" i="2"/>
  <c r="G17" i="2"/>
  <c r="H17" i="2"/>
  <c r="I17" i="2"/>
  <c r="J17" i="2"/>
  <c r="K17" i="2"/>
  <c r="L17" i="2"/>
  <c r="M17" i="2"/>
  <c r="N17" i="2"/>
  <c r="E18" i="2"/>
  <c r="F18" i="2"/>
  <c r="G18" i="2"/>
  <c r="H18" i="2"/>
  <c r="I18" i="2"/>
  <c r="J18" i="2"/>
  <c r="K18" i="2"/>
  <c r="L18" i="2"/>
  <c r="M18" i="2"/>
  <c r="N18" i="2"/>
  <c r="E19" i="2"/>
  <c r="F19" i="2"/>
  <c r="G19" i="2"/>
  <c r="H19" i="2"/>
  <c r="I19" i="2"/>
  <c r="J19" i="2"/>
  <c r="K19" i="2"/>
  <c r="L19" i="2"/>
  <c r="M19" i="2"/>
  <c r="N19" i="2"/>
  <c r="E20" i="2"/>
  <c r="F20" i="2"/>
  <c r="G20" i="2"/>
  <c r="H20" i="2"/>
  <c r="I20" i="2"/>
  <c r="J20" i="2"/>
  <c r="K20" i="2"/>
  <c r="L20" i="2"/>
  <c r="M20" i="2"/>
  <c r="N20" i="2"/>
  <c r="E21" i="2"/>
  <c r="F21" i="2"/>
  <c r="G21" i="2"/>
  <c r="H21" i="2"/>
  <c r="I21" i="2"/>
  <c r="J21" i="2"/>
  <c r="K21" i="2"/>
  <c r="L21" i="2"/>
  <c r="M21" i="2"/>
  <c r="N21" i="2"/>
  <c r="E22" i="2"/>
  <c r="F22" i="2"/>
  <c r="G22" i="2"/>
  <c r="H22" i="2"/>
  <c r="I22" i="2"/>
  <c r="J22" i="2"/>
  <c r="K22" i="2"/>
  <c r="L22" i="2"/>
  <c r="M22" i="2"/>
  <c r="N22" i="2"/>
  <c r="E23" i="2"/>
  <c r="F23" i="2"/>
  <c r="G23" i="2"/>
  <c r="H23" i="2"/>
  <c r="I23" i="2"/>
  <c r="J23" i="2"/>
  <c r="K23" i="2"/>
  <c r="L23" i="2"/>
  <c r="M23" i="2"/>
  <c r="N23" i="2"/>
  <c r="E24" i="2"/>
  <c r="F24" i="2"/>
  <c r="G24" i="2"/>
  <c r="H24" i="2"/>
  <c r="I24" i="2"/>
  <c r="J24" i="2"/>
  <c r="K24" i="2"/>
  <c r="L24" i="2"/>
  <c r="M24" i="2"/>
  <c r="N24" i="2"/>
  <c r="E25" i="2"/>
  <c r="F25" i="2"/>
  <c r="G25" i="2"/>
  <c r="H25" i="2"/>
  <c r="I25" i="2"/>
  <c r="J25" i="2"/>
  <c r="K25" i="2"/>
  <c r="L25" i="2"/>
  <c r="M25" i="2"/>
  <c r="N25" i="2"/>
  <c r="E26" i="2"/>
  <c r="F26" i="2"/>
  <c r="G26" i="2"/>
  <c r="H26" i="2"/>
  <c r="I26" i="2"/>
  <c r="J26" i="2"/>
  <c r="K26" i="2"/>
  <c r="L26" i="2"/>
  <c r="M26" i="2"/>
  <c r="N26" i="2"/>
  <c r="E27" i="2"/>
  <c r="F27" i="2"/>
  <c r="G27" i="2"/>
  <c r="H27" i="2"/>
  <c r="I27" i="2"/>
  <c r="J27" i="2"/>
  <c r="K27" i="2"/>
  <c r="L27" i="2"/>
  <c r="M27" i="2"/>
  <c r="N27" i="2"/>
  <c r="E28" i="2"/>
  <c r="F28" i="2"/>
  <c r="G28" i="2"/>
  <c r="H28" i="2"/>
  <c r="I28" i="2"/>
  <c r="J28" i="2"/>
  <c r="K28" i="2"/>
  <c r="L28" i="2"/>
  <c r="M28" i="2"/>
  <c r="N28" i="2"/>
  <c r="E29" i="2"/>
  <c r="F29" i="2"/>
  <c r="G29" i="2"/>
  <c r="H29" i="2"/>
  <c r="I29" i="2"/>
  <c r="J29" i="2"/>
  <c r="K29" i="2"/>
  <c r="L29" i="2"/>
  <c r="M29" i="2"/>
  <c r="N29" i="2"/>
  <c r="E30" i="2"/>
  <c r="F30" i="2"/>
  <c r="G30" i="2"/>
  <c r="H30" i="2"/>
  <c r="I30" i="2"/>
  <c r="J30" i="2"/>
  <c r="K30" i="2"/>
  <c r="L30" i="2"/>
  <c r="M30" i="2"/>
  <c r="N30" i="2"/>
  <c r="E31" i="2"/>
  <c r="F31" i="2"/>
  <c r="G31" i="2"/>
  <c r="H31" i="2"/>
  <c r="I31" i="2"/>
  <c r="J31" i="2"/>
  <c r="K31" i="2"/>
  <c r="L31" i="2"/>
  <c r="M31" i="2"/>
  <c r="N31" i="2"/>
  <c r="E32" i="2"/>
  <c r="F32" i="2"/>
  <c r="G32" i="2"/>
  <c r="H32" i="2"/>
  <c r="I32" i="2"/>
  <c r="J32" i="2"/>
  <c r="K32" i="2"/>
  <c r="L32" i="2"/>
  <c r="M32" i="2"/>
  <c r="N32" i="2"/>
  <c r="E33" i="2"/>
  <c r="F33" i="2"/>
  <c r="G33" i="2"/>
  <c r="H33" i="2"/>
  <c r="I33" i="2"/>
  <c r="J33" i="2"/>
  <c r="K33" i="2"/>
  <c r="L33" i="2"/>
  <c r="M33" i="2"/>
  <c r="N33" i="2"/>
  <c r="E34" i="2"/>
  <c r="F34" i="2"/>
  <c r="G34" i="2"/>
  <c r="H34" i="2"/>
  <c r="I34" i="2"/>
  <c r="J34" i="2"/>
  <c r="K34" i="2"/>
  <c r="L34" i="2"/>
  <c r="M34" i="2"/>
  <c r="N34" i="2"/>
  <c r="E35" i="2"/>
  <c r="F35" i="2"/>
  <c r="G35" i="2"/>
  <c r="H35" i="2"/>
  <c r="I35" i="2"/>
  <c r="J35" i="2"/>
  <c r="K35" i="2"/>
  <c r="L35" i="2"/>
  <c r="M35" i="2"/>
  <c r="N35" i="2"/>
  <c r="E36" i="2"/>
  <c r="F36" i="2"/>
  <c r="G36" i="2"/>
  <c r="H36" i="2"/>
  <c r="I36" i="2"/>
  <c r="J36" i="2"/>
  <c r="K36" i="2"/>
  <c r="L36" i="2"/>
  <c r="M36" i="2"/>
  <c r="N36" i="2"/>
  <c r="E37" i="2"/>
  <c r="F37" i="2"/>
  <c r="G37" i="2"/>
  <c r="H37" i="2"/>
  <c r="I37" i="2"/>
  <c r="J37" i="2"/>
  <c r="K37" i="2"/>
  <c r="L37" i="2"/>
  <c r="M37" i="2"/>
  <c r="N37" i="2"/>
  <c r="E38" i="2"/>
  <c r="F38" i="2"/>
  <c r="G38" i="2"/>
  <c r="H38" i="2"/>
  <c r="I38" i="2"/>
  <c r="J38" i="2"/>
  <c r="K38" i="2"/>
  <c r="L38" i="2"/>
  <c r="M38" i="2"/>
  <c r="N38" i="2"/>
  <c r="E39" i="2"/>
  <c r="F39" i="2"/>
  <c r="G39" i="2"/>
  <c r="H39" i="2"/>
  <c r="I39" i="2"/>
  <c r="J39" i="2"/>
  <c r="K39" i="2"/>
  <c r="L39" i="2"/>
  <c r="M39" i="2"/>
  <c r="N39" i="2"/>
  <c r="E40" i="2"/>
  <c r="F40" i="2"/>
  <c r="G40" i="2"/>
  <c r="H40" i="2"/>
  <c r="I40" i="2"/>
  <c r="J40" i="2"/>
  <c r="K40" i="2"/>
  <c r="L40" i="2"/>
  <c r="M40" i="2"/>
  <c r="N40" i="2"/>
  <c r="E41" i="2"/>
  <c r="F41" i="2"/>
  <c r="G41" i="2"/>
  <c r="H41" i="2"/>
  <c r="I41" i="2"/>
  <c r="J41" i="2"/>
  <c r="K41" i="2"/>
  <c r="L41" i="2"/>
  <c r="M41" i="2"/>
  <c r="N41" i="2"/>
  <c r="E42" i="2"/>
  <c r="F42" i="2"/>
  <c r="G42" i="2"/>
  <c r="H42" i="2"/>
  <c r="I42" i="2"/>
  <c r="J42" i="2"/>
  <c r="K42" i="2"/>
  <c r="L42" i="2"/>
  <c r="M42" i="2"/>
  <c r="N42" i="2"/>
  <c r="E43" i="2"/>
  <c r="F43" i="2"/>
  <c r="G43" i="2"/>
  <c r="H43" i="2"/>
  <c r="I43" i="2"/>
  <c r="J43" i="2"/>
  <c r="K43" i="2"/>
  <c r="L43" i="2"/>
  <c r="M43" i="2"/>
  <c r="N43" i="2"/>
  <c r="E44" i="2"/>
  <c r="F44" i="2"/>
  <c r="G44" i="2"/>
  <c r="H44" i="2"/>
  <c r="I44" i="2"/>
  <c r="J44" i="2"/>
  <c r="K44" i="2"/>
  <c r="L44" i="2"/>
  <c r="M44" i="2"/>
  <c r="N44" i="2"/>
  <c r="E45" i="2"/>
  <c r="F45" i="2"/>
  <c r="G45" i="2"/>
  <c r="H45" i="2"/>
  <c r="I45" i="2"/>
  <c r="J45" i="2"/>
  <c r="K45" i="2"/>
  <c r="L45" i="2"/>
  <c r="M45" i="2"/>
  <c r="N45" i="2"/>
  <c r="E46" i="2"/>
  <c r="F46" i="2"/>
  <c r="G46" i="2"/>
  <c r="H46" i="2"/>
  <c r="I46" i="2"/>
  <c r="J46" i="2"/>
  <c r="K46" i="2"/>
  <c r="L46" i="2"/>
  <c r="M46" i="2"/>
  <c r="N46" i="2"/>
  <c r="E47" i="2"/>
  <c r="F47" i="2"/>
  <c r="G47" i="2"/>
  <c r="H47" i="2"/>
  <c r="I47" i="2"/>
  <c r="J47" i="2"/>
  <c r="K47" i="2"/>
  <c r="L47" i="2"/>
  <c r="M47" i="2"/>
  <c r="N47" i="2"/>
  <c r="E48" i="2"/>
  <c r="F48" i="2"/>
  <c r="G48" i="2"/>
  <c r="H48" i="2"/>
  <c r="I48" i="2"/>
  <c r="J48" i="2"/>
  <c r="K48" i="2"/>
  <c r="L48" i="2"/>
  <c r="M48" i="2"/>
  <c r="N48" i="2"/>
  <c r="E49" i="2"/>
  <c r="F49" i="2"/>
  <c r="G49" i="2"/>
  <c r="H49" i="2"/>
  <c r="I49" i="2"/>
  <c r="J49" i="2"/>
  <c r="K49" i="2"/>
  <c r="L49" i="2"/>
  <c r="M49" i="2"/>
  <c r="N49" i="2"/>
  <c r="E50" i="2"/>
  <c r="F50" i="2"/>
  <c r="G50" i="2"/>
  <c r="H50" i="2"/>
  <c r="I50" i="2"/>
  <c r="J50" i="2"/>
  <c r="K50" i="2"/>
  <c r="L50" i="2"/>
  <c r="M50" i="2"/>
  <c r="N50" i="2"/>
  <c r="E51" i="2"/>
  <c r="F51" i="2"/>
  <c r="G51" i="2"/>
  <c r="H51" i="2"/>
  <c r="I51" i="2"/>
  <c r="J51" i="2"/>
  <c r="K51" i="2"/>
  <c r="L51" i="2"/>
  <c r="M51" i="2"/>
  <c r="N51" i="2"/>
  <c r="E52" i="2"/>
  <c r="F52" i="2"/>
  <c r="G52" i="2"/>
  <c r="H52" i="2"/>
  <c r="I52" i="2"/>
  <c r="J52" i="2"/>
  <c r="K52" i="2"/>
  <c r="L52" i="2"/>
  <c r="M52" i="2"/>
  <c r="N52" i="2"/>
  <c r="E53" i="2"/>
  <c r="F53" i="2"/>
  <c r="G53" i="2"/>
  <c r="H53" i="2"/>
  <c r="I53" i="2"/>
  <c r="J53" i="2"/>
  <c r="K53" i="2"/>
  <c r="L53" i="2"/>
  <c r="M53" i="2"/>
  <c r="N53" i="2"/>
  <c r="E54" i="2"/>
  <c r="F54" i="2"/>
  <c r="G54" i="2"/>
  <c r="H54" i="2"/>
  <c r="I54" i="2"/>
  <c r="J54" i="2"/>
  <c r="K54" i="2"/>
  <c r="L54" i="2"/>
  <c r="M54" i="2"/>
  <c r="N54" i="2"/>
  <c r="E55" i="2"/>
  <c r="F55" i="2"/>
  <c r="G55" i="2"/>
  <c r="H55" i="2"/>
  <c r="I55" i="2"/>
  <c r="J55" i="2"/>
  <c r="K55" i="2"/>
  <c r="L55" i="2"/>
  <c r="M55" i="2"/>
  <c r="N55" i="2"/>
  <c r="E56" i="2"/>
  <c r="F56" i="2"/>
  <c r="G56" i="2"/>
  <c r="H56" i="2"/>
  <c r="I56" i="2"/>
  <c r="J56" i="2"/>
  <c r="K56" i="2"/>
  <c r="L56" i="2"/>
  <c r="M56" i="2"/>
  <c r="N56" i="2"/>
  <c r="E57" i="2"/>
  <c r="F57" i="2"/>
  <c r="G57" i="2"/>
  <c r="H57" i="2"/>
  <c r="I57" i="2"/>
  <c r="J57" i="2"/>
  <c r="K57" i="2"/>
  <c r="L57" i="2"/>
  <c r="M57" i="2"/>
  <c r="N57" i="2"/>
  <c r="E58" i="2"/>
  <c r="F58" i="2"/>
  <c r="G58" i="2"/>
  <c r="H58" i="2"/>
  <c r="I58" i="2"/>
  <c r="J58" i="2"/>
  <c r="K58" i="2"/>
  <c r="L58" i="2"/>
  <c r="M58" i="2"/>
  <c r="N58" i="2"/>
  <c r="E59" i="2"/>
  <c r="F59" i="2"/>
  <c r="G59" i="2"/>
  <c r="H59" i="2"/>
  <c r="I59" i="2"/>
  <c r="J59" i="2"/>
  <c r="K59" i="2"/>
  <c r="L59" i="2"/>
  <c r="M59" i="2"/>
  <c r="N59" i="2"/>
  <c r="E60" i="2"/>
  <c r="F60" i="2"/>
  <c r="G60" i="2"/>
  <c r="H60" i="2"/>
  <c r="I60" i="2"/>
  <c r="J60" i="2"/>
  <c r="K60" i="2"/>
  <c r="L60" i="2"/>
  <c r="M60" i="2"/>
  <c r="N60" i="2"/>
  <c r="E61" i="2"/>
  <c r="F61" i="2"/>
  <c r="G61" i="2"/>
  <c r="H61" i="2"/>
  <c r="I61" i="2"/>
  <c r="J61" i="2"/>
  <c r="K61" i="2"/>
  <c r="L61" i="2"/>
  <c r="M61" i="2"/>
  <c r="N61" i="2"/>
  <c r="E62" i="2"/>
  <c r="F62" i="2"/>
  <c r="G62" i="2"/>
  <c r="H62" i="2"/>
  <c r="I62" i="2"/>
  <c r="J62" i="2"/>
  <c r="K62" i="2"/>
  <c r="L62" i="2"/>
  <c r="M62" i="2"/>
  <c r="N62" i="2"/>
  <c r="E63" i="2"/>
  <c r="F63" i="2"/>
  <c r="G63" i="2"/>
  <c r="H63" i="2"/>
  <c r="I63" i="2"/>
  <c r="J63" i="2"/>
  <c r="K63" i="2"/>
  <c r="L63" i="2"/>
  <c r="M63" i="2"/>
  <c r="N63" i="2"/>
  <c r="E64" i="2"/>
  <c r="F64" i="2"/>
  <c r="G64" i="2"/>
  <c r="H64" i="2"/>
  <c r="I64" i="2"/>
  <c r="J64" i="2"/>
  <c r="K64" i="2"/>
  <c r="L64" i="2"/>
  <c r="M64" i="2"/>
  <c r="N64" i="2"/>
  <c r="E65" i="2"/>
  <c r="F65" i="2"/>
  <c r="G65" i="2"/>
  <c r="H65" i="2"/>
  <c r="I65" i="2"/>
  <c r="J65" i="2"/>
  <c r="K65" i="2"/>
  <c r="L65" i="2"/>
  <c r="M65" i="2"/>
  <c r="N65" i="2"/>
  <c r="E66" i="2"/>
  <c r="F66" i="2"/>
  <c r="G66" i="2"/>
  <c r="H66" i="2"/>
  <c r="I66" i="2"/>
  <c r="J66" i="2"/>
  <c r="K66" i="2"/>
  <c r="L66" i="2"/>
  <c r="M66" i="2"/>
  <c r="N66" i="2"/>
  <c r="E67" i="2"/>
  <c r="F67" i="2"/>
  <c r="G67" i="2"/>
  <c r="H67" i="2"/>
  <c r="I67" i="2"/>
  <c r="J67" i="2"/>
  <c r="K67" i="2"/>
  <c r="L67" i="2"/>
  <c r="M67" i="2"/>
  <c r="N67" i="2"/>
  <c r="E68" i="2"/>
  <c r="F68" i="2"/>
  <c r="G68" i="2"/>
  <c r="H68" i="2"/>
  <c r="I68" i="2"/>
  <c r="J68" i="2"/>
  <c r="K68" i="2"/>
  <c r="L68" i="2"/>
  <c r="M68" i="2"/>
  <c r="N68" i="2"/>
  <c r="E69" i="2"/>
  <c r="F69" i="2"/>
  <c r="G69" i="2"/>
  <c r="H69" i="2"/>
  <c r="I69" i="2"/>
  <c r="J69" i="2"/>
  <c r="K69" i="2"/>
  <c r="L69" i="2"/>
  <c r="M69" i="2"/>
  <c r="N69" i="2"/>
  <c r="E70" i="2"/>
  <c r="F70" i="2"/>
  <c r="G70" i="2"/>
  <c r="H70" i="2"/>
  <c r="I70" i="2"/>
  <c r="J70" i="2"/>
  <c r="K70" i="2"/>
  <c r="L70" i="2"/>
  <c r="M70" i="2"/>
  <c r="N70" i="2"/>
  <c r="E71" i="2"/>
  <c r="F71" i="2"/>
  <c r="G71" i="2"/>
  <c r="H71" i="2"/>
  <c r="I71" i="2"/>
  <c r="J71" i="2"/>
  <c r="K71" i="2"/>
  <c r="L71" i="2"/>
  <c r="M71" i="2"/>
  <c r="N71" i="2"/>
  <c r="E72" i="2"/>
  <c r="F72" i="2"/>
  <c r="G72" i="2"/>
  <c r="H72" i="2"/>
  <c r="I72" i="2"/>
  <c r="J72" i="2"/>
  <c r="K72" i="2"/>
  <c r="L72" i="2"/>
  <c r="M72" i="2"/>
  <c r="N72" i="2"/>
  <c r="E73" i="2"/>
  <c r="F73" i="2"/>
  <c r="G73" i="2"/>
  <c r="H73" i="2"/>
  <c r="I73" i="2"/>
  <c r="J73" i="2"/>
  <c r="K73" i="2"/>
  <c r="L73" i="2"/>
  <c r="M73" i="2"/>
  <c r="N73" i="2"/>
  <c r="E74" i="2"/>
  <c r="F74" i="2"/>
  <c r="G74" i="2"/>
  <c r="H74" i="2"/>
  <c r="I74" i="2"/>
  <c r="J74" i="2"/>
  <c r="K74" i="2"/>
  <c r="L74" i="2"/>
  <c r="M74" i="2"/>
  <c r="N74" i="2"/>
  <c r="E75" i="2"/>
  <c r="F75" i="2"/>
  <c r="G75" i="2"/>
  <c r="H75" i="2"/>
  <c r="I75" i="2"/>
  <c r="J75" i="2"/>
  <c r="K75" i="2"/>
  <c r="L75" i="2"/>
  <c r="M75" i="2"/>
  <c r="N75" i="2"/>
  <c r="E76" i="2"/>
  <c r="F76" i="2"/>
  <c r="G76" i="2"/>
  <c r="H76" i="2"/>
  <c r="I76" i="2"/>
  <c r="J76" i="2"/>
  <c r="K76" i="2"/>
  <c r="L76" i="2"/>
  <c r="M76" i="2"/>
  <c r="N76" i="2"/>
  <c r="E77" i="2"/>
  <c r="F77" i="2"/>
  <c r="G77" i="2"/>
  <c r="H77" i="2"/>
  <c r="I77" i="2"/>
  <c r="J77" i="2"/>
  <c r="K77" i="2"/>
  <c r="L77" i="2"/>
  <c r="M77" i="2"/>
  <c r="N77" i="2"/>
  <c r="E78" i="2"/>
  <c r="F78" i="2"/>
  <c r="G78" i="2"/>
  <c r="H78" i="2"/>
  <c r="I78" i="2"/>
  <c r="J78" i="2"/>
  <c r="K78" i="2"/>
  <c r="L78" i="2"/>
  <c r="M78" i="2"/>
  <c r="N78" i="2"/>
  <c r="E79" i="2"/>
  <c r="F79" i="2"/>
  <c r="G79" i="2"/>
  <c r="H79" i="2"/>
  <c r="I79" i="2"/>
  <c r="J79" i="2"/>
  <c r="K79" i="2"/>
  <c r="L79" i="2"/>
  <c r="M79" i="2"/>
  <c r="N79" i="2"/>
  <c r="E80" i="2"/>
  <c r="F80" i="2"/>
  <c r="G80" i="2"/>
  <c r="H80" i="2"/>
  <c r="I80" i="2"/>
  <c r="J80" i="2"/>
  <c r="K80" i="2"/>
  <c r="L80" i="2"/>
  <c r="M80" i="2"/>
  <c r="N80" i="2"/>
  <c r="E81" i="2"/>
  <c r="F81" i="2"/>
  <c r="G81" i="2"/>
  <c r="H81" i="2"/>
  <c r="I81" i="2"/>
  <c r="J81" i="2"/>
  <c r="K81" i="2"/>
  <c r="L81" i="2"/>
  <c r="M81" i="2"/>
  <c r="N81" i="2"/>
  <c r="E82" i="2"/>
  <c r="F82" i="2"/>
  <c r="G82" i="2"/>
  <c r="H82" i="2"/>
  <c r="I82" i="2"/>
  <c r="J82" i="2"/>
  <c r="K82" i="2"/>
  <c r="L82" i="2"/>
  <c r="M82" i="2"/>
  <c r="N82" i="2"/>
  <c r="E83" i="2"/>
  <c r="F83" i="2"/>
  <c r="G83" i="2"/>
  <c r="H83" i="2"/>
  <c r="I83" i="2"/>
  <c r="J83" i="2"/>
  <c r="K83" i="2"/>
  <c r="L83" i="2"/>
  <c r="M83" i="2"/>
  <c r="N83" i="2"/>
  <c r="E84" i="2"/>
  <c r="F84" i="2"/>
  <c r="G84" i="2"/>
  <c r="H84" i="2"/>
  <c r="I84" i="2"/>
  <c r="J84" i="2"/>
  <c r="K84" i="2"/>
  <c r="L84" i="2"/>
  <c r="M84" i="2"/>
  <c r="N84" i="2"/>
  <c r="E85" i="2"/>
  <c r="F85" i="2"/>
  <c r="G85" i="2"/>
  <c r="H85" i="2"/>
  <c r="I85" i="2"/>
  <c r="J85" i="2"/>
  <c r="K85" i="2"/>
  <c r="L85" i="2"/>
  <c r="M85" i="2"/>
  <c r="N85" i="2"/>
  <c r="E86" i="2"/>
  <c r="F86" i="2"/>
  <c r="G86" i="2"/>
  <c r="H86" i="2"/>
  <c r="I86" i="2"/>
  <c r="J86" i="2"/>
  <c r="K86" i="2"/>
  <c r="L86" i="2"/>
  <c r="M86" i="2"/>
  <c r="N86" i="2"/>
  <c r="E87" i="2"/>
  <c r="F87" i="2"/>
  <c r="G87" i="2"/>
  <c r="H87" i="2"/>
  <c r="I87" i="2"/>
  <c r="J87" i="2"/>
  <c r="K87" i="2"/>
  <c r="L87" i="2"/>
  <c r="M87" i="2"/>
  <c r="N87" i="2"/>
  <c r="E88" i="2"/>
  <c r="F88" i="2"/>
  <c r="G88" i="2"/>
  <c r="H88" i="2"/>
  <c r="I88" i="2"/>
  <c r="J88" i="2"/>
  <c r="K88" i="2"/>
  <c r="L88" i="2"/>
  <c r="M88" i="2"/>
  <c r="N88" i="2"/>
  <c r="E89" i="2"/>
  <c r="F89" i="2"/>
  <c r="G89" i="2"/>
  <c r="H89" i="2"/>
  <c r="I89" i="2"/>
  <c r="J89" i="2"/>
  <c r="K89" i="2"/>
  <c r="L89" i="2"/>
  <c r="M89" i="2"/>
  <c r="N89" i="2"/>
  <c r="E90" i="2"/>
  <c r="F90" i="2"/>
  <c r="G90" i="2"/>
  <c r="H90" i="2"/>
  <c r="I90" i="2"/>
  <c r="J90" i="2"/>
  <c r="K90" i="2"/>
  <c r="L90" i="2"/>
  <c r="M90" i="2"/>
  <c r="N90" i="2"/>
  <c r="E91" i="2"/>
  <c r="F91" i="2"/>
  <c r="G91" i="2"/>
  <c r="H91" i="2"/>
  <c r="I91" i="2"/>
  <c r="J91" i="2"/>
  <c r="K91" i="2"/>
  <c r="L91" i="2"/>
  <c r="M91" i="2"/>
  <c r="N91" i="2"/>
  <c r="E92" i="2"/>
  <c r="F92" i="2"/>
  <c r="G92" i="2"/>
  <c r="H92" i="2"/>
  <c r="I92" i="2"/>
  <c r="J92" i="2"/>
  <c r="K92" i="2"/>
  <c r="L92" i="2"/>
  <c r="M92" i="2"/>
  <c r="N92" i="2"/>
  <c r="E93" i="2"/>
  <c r="F93" i="2"/>
  <c r="G93" i="2"/>
  <c r="H93" i="2"/>
  <c r="I93" i="2"/>
  <c r="J93" i="2"/>
  <c r="K93" i="2"/>
  <c r="L93" i="2"/>
  <c r="M93" i="2"/>
  <c r="N93" i="2"/>
  <c r="E94" i="2"/>
  <c r="F94" i="2"/>
  <c r="G94" i="2"/>
  <c r="H94" i="2"/>
  <c r="I94" i="2"/>
  <c r="J94" i="2"/>
  <c r="K94" i="2"/>
  <c r="L94" i="2"/>
  <c r="M94" i="2"/>
  <c r="N94" i="2"/>
  <c r="E95" i="2"/>
  <c r="F95" i="2"/>
  <c r="G95" i="2"/>
  <c r="H95" i="2"/>
  <c r="I95" i="2"/>
  <c r="J95" i="2"/>
  <c r="K95" i="2"/>
  <c r="L95" i="2"/>
  <c r="M95" i="2"/>
  <c r="N95" i="2"/>
  <c r="E96" i="2"/>
  <c r="F96" i="2"/>
  <c r="G96" i="2"/>
  <c r="H96" i="2"/>
  <c r="I96" i="2"/>
  <c r="J96" i="2"/>
  <c r="K96" i="2"/>
  <c r="L96" i="2"/>
  <c r="M96" i="2"/>
  <c r="N96" i="2"/>
  <c r="E97" i="2"/>
  <c r="F97" i="2"/>
  <c r="G97" i="2"/>
  <c r="H97" i="2"/>
  <c r="I97" i="2"/>
  <c r="J97" i="2"/>
  <c r="K97" i="2"/>
  <c r="L97" i="2"/>
  <c r="M97" i="2"/>
  <c r="N97" i="2"/>
  <c r="E98" i="2"/>
  <c r="F98" i="2"/>
  <c r="G98" i="2"/>
  <c r="H98" i="2"/>
  <c r="I98" i="2"/>
  <c r="J98" i="2"/>
  <c r="K98" i="2"/>
  <c r="L98" i="2"/>
  <c r="M98" i="2"/>
  <c r="N98" i="2"/>
  <c r="E99" i="2"/>
  <c r="F99" i="2"/>
  <c r="G99" i="2"/>
  <c r="H99" i="2"/>
  <c r="I99" i="2"/>
  <c r="J99" i="2"/>
  <c r="K99" i="2"/>
  <c r="L99" i="2"/>
  <c r="M99" i="2"/>
  <c r="N99" i="2"/>
  <c r="E100" i="2"/>
  <c r="F100" i="2"/>
  <c r="G100" i="2"/>
  <c r="H100" i="2"/>
  <c r="I100" i="2"/>
  <c r="J100" i="2"/>
  <c r="K100" i="2"/>
  <c r="L100" i="2"/>
  <c r="M100" i="2"/>
  <c r="N100" i="2"/>
  <c r="E101" i="2"/>
  <c r="F101" i="2"/>
  <c r="G101" i="2"/>
  <c r="H101" i="2"/>
  <c r="I101" i="2"/>
  <c r="J101" i="2"/>
  <c r="K101" i="2"/>
  <c r="L101" i="2"/>
  <c r="M101" i="2"/>
  <c r="N101" i="2"/>
  <c r="E102" i="2"/>
  <c r="F102" i="2"/>
  <c r="G102" i="2"/>
  <c r="H102" i="2"/>
  <c r="I102" i="2"/>
  <c r="J102" i="2"/>
  <c r="K102" i="2"/>
  <c r="L102" i="2"/>
  <c r="M102" i="2"/>
  <c r="N102" i="2"/>
  <c r="E103" i="2"/>
  <c r="F103" i="2"/>
  <c r="G103" i="2"/>
  <c r="H103" i="2"/>
  <c r="I103" i="2"/>
  <c r="J103" i="2"/>
  <c r="K103" i="2"/>
  <c r="L103" i="2"/>
  <c r="M103" i="2"/>
  <c r="N103" i="2"/>
  <c r="E104" i="2"/>
  <c r="F104" i="2"/>
  <c r="G104" i="2"/>
  <c r="H104" i="2"/>
  <c r="I104" i="2"/>
  <c r="J104" i="2"/>
  <c r="K104" i="2"/>
  <c r="L104" i="2"/>
  <c r="M104" i="2"/>
  <c r="N104" i="2"/>
  <c r="E105" i="2"/>
  <c r="F105" i="2"/>
  <c r="G105" i="2"/>
  <c r="H105" i="2"/>
  <c r="I105" i="2"/>
  <c r="J105" i="2"/>
  <c r="K105" i="2"/>
  <c r="L105" i="2"/>
  <c r="M105" i="2"/>
  <c r="N105" i="2"/>
  <c r="E106" i="2"/>
  <c r="F106" i="2"/>
  <c r="G106" i="2"/>
  <c r="H106" i="2"/>
  <c r="I106" i="2"/>
  <c r="J106" i="2"/>
  <c r="K106" i="2"/>
  <c r="L106" i="2"/>
  <c r="M106" i="2"/>
  <c r="N106" i="2"/>
  <c r="E107" i="2"/>
  <c r="F107" i="2"/>
  <c r="G107" i="2"/>
  <c r="H107" i="2"/>
  <c r="I107" i="2"/>
  <c r="J107" i="2"/>
  <c r="K107" i="2"/>
  <c r="L107" i="2"/>
  <c r="M107" i="2"/>
  <c r="N107" i="2"/>
  <c r="E108" i="2"/>
  <c r="F108" i="2"/>
  <c r="G108" i="2"/>
  <c r="H108" i="2"/>
  <c r="I108" i="2"/>
  <c r="J108" i="2"/>
  <c r="K108" i="2"/>
  <c r="L108" i="2"/>
  <c r="M108" i="2"/>
  <c r="N108" i="2"/>
  <c r="E109" i="2"/>
  <c r="F109" i="2"/>
  <c r="G109" i="2"/>
  <c r="H109" i="2"/>
  <c r="I109" i="2"/>
  <c r="J109" i="2"/>
  <c r="K109" i="2"/>
  <c r="L109" i="2"/>
  <c r="M109" i="2"/>
  <c r="N109" i="2"/>
  <c r="E110" i="2"/>
  <c r="F110" i="2"/>
  <c r="G110" i="2"/>
  <c r="H110" i="2"/>
  <c r="I110" i="2"/>
  <c r="J110" i="2"/>
  <c r="K110" i="2"/>
  <c r="L110" i="2"/>
  <c r="M110" i="2"/>
  <c r="N110" i="2"/>
  <c r="E111" i="2"/>
  <c r="F111" i="2"/>
  <c r="G111" i="2"/>
  <c r="H111" i="2"/>
  <c r="I111" i="2"/>
  <c r="J111" i="2"/>
  <c r="K111" i="2"/>
  <c r="L111" i="2"/>
  <c r="M111" i="2"/>
  <c r="N111" i="2"/>
  <c r="E112" i="2"/>
  <c r="F112" i="2"/>
  <c r="G112" i="2"/>
  <c r="H112" i="2"/>
  <c r="I112" i="2"/>
  <c r="J112" i="2"/>
  <c r="K112" i="2"/>
  <c r="L112" i="2"/>
  <c r="M112" i="2"/>
  <c r="N112" i="2"/>
  <c r="E113" i="2"/>
  <c r="F113" i="2"/>
  <c r="G113" i="2"/>
  <c r="H113" i="2"/>
  <c r="I113" i="2"/>
  <c r="J113" i="2"/>
  <c r="K113" i="2"/>
  <c r="L113" i="2"/>
  <c r="M113" i="2"/>
  <c r="N113" i="2"/>
  <c r="E114" i="2"/>
  <c r="F114" i="2"/>
  <c r="G114" i="2"/>
  <c r="H114" i="2"/>
  <c r="I114" i="2"/>
  <c r="J114" i="2"/>
  <c r="K114" i="2"/>
  <c r="L114" i="2"/>
  <c r="M114" i="2"/>
  <c r="N114" i="2"/>
  <c r="E115" i="2"/>
  <c r="F115" i="2"/>
  <c r="G115" i="2"/>
  <c r="H115" i="2"/>
  <c r="I115" i="2"/>
  <c r="J115" i="2"/>
  <c r="K115" i="2"/>
  <c r="L115" i="2"/>
  <c r="M115" i="2"/>
  <c r="N115" i="2"/>
  <c r="E116" i="2"/>
  <c r="F116" i="2"/>
  <c r="G116" i="2"/>
  <c r="H116" i="2"/>
  <c r="I116" i="2"/>
  <c r="J116" i="2"/>
  <c r="K116" i="2"/>
  <c r="L116" i="2"/>
  <c r="M116" i="2"/>
  <c r="N116" i="2"/>
  <c r="E117" i="2"/>
  <c r="F117" i="2"/>
  <c r="G117" i="2"/>
  <c r="H117" i="2"/>
  <c r="I117" i="2"/>
  <c r="J117" i="2"/>
  <c r="K117" i="2"/>
  <c r="L117" i="2"/>
  <c r="M117" i="2"/>
  <c r="N117" i="2"/>
  <c r="E118" i="2"/>
  <c r="F118" i="2"/>
  <c r="G118" i="2"/>
  <c r="H118" i="2"/>
  <c r="I118" i="2"/>
  <c r="J118" i="2"/>
  <c r="K118" i="2"/>
  <c r="L118" i="2"/>
  <c r="M118" i="2"/>
  <c r="N118" i="2"/>
  <c r="E119" i="2"/>
  <c r="F119" i="2"/>
  <c r="G119" i="2"/>
  <c r="H119" i="2"/>
  <c r="I119" i="2"/>
  <c r="J119" i="2"/>
  <c r="K119" i="2"/>
  <c r="L119" i="2"/>
  <c r="M119" i="2"/>
  <c r="N119" i="2"/>
  <c r="E120" i="2"/>
  <c r="F120" i="2"/>
  <c r="G120" i="2"/>
  <c r="H120" i="2"/>
  <c r="I120" i="2"/>
  <c r="J120" i="2"/>
  <c r="K120" i="2"/>
  <c r="L120" i="2"/>
  <c r="M120" i="2"/>
  <c r="N120" i="2"/>
  <c r="E121" i="2"/>
  <c r="F121" i="2"/>
  <c r="G121" i="2"/>
  <c r="H121" i="2"/>
  <c r="I121" i="2"/>
  <c r="J121" i="2"/>
  <c r="K121" i="2"/>
  <c r="L121" i="2"/>
  <c r="M121" i="2"/>
  <c r="N121" i="2"/>
  <c r="E122" i="2"/>
  <c r="F122" i="2"/>
  <c r="G122" i="2"/>
  <c r="H122" i="2"/>
  <c r="I122" i="2"/>
  <c r="J122" i="2"/>
  <c r="K122" i="2"/>
  <c r="L122" i="2"/>
  <c r="M122" i="2"/>
  <c r="N122" i="2"/>
  <c r="E123" i="2"/>
  <c r="F123" i="2"/>
  <c r="G123" i="2"/>
  <c r="H123" i="2"/>
  <c r="I123" i="2"/>
  <c r="J123" i="2"/>
  <c r="K123" i="2"/>
  <c r="L123" i="2"/>
  <c r="M123" i="2"/>
  <c r="N123" i="2"/>
  <c r="E124" i="2"/>
  <c r="F124" i="2"/>
  <c r="G124" i="2"/>
  <c r="H124" i="2"/>
  <c r="I124" i="2"/>
  <c r="J124" i="2"/>
  <c r="K124" i="2"/>
  <c r="L124" i="2"/>
  <c r="M124" i="2"/>
  <c r="N124" i="2"/>
  <c r="E125" i="2"/>
  <c r="F125" i="2"/>
  <c r="G125" i="2"/>
  <c r="H125" i="2"/>
  <c r="I125" i="2"/>
  <c r="J125" i="2"/>
  <c r="K125" i="2"/>
  <c r="L125" i="2"/>
  <c r="M125" i="2"/>
  <c r="N125" i="2"/>
  <c r="E126" i="2"/>
  <c r="F126" i="2"/>
  <c r="G126" i="2"/>
  <c r="H126" i="2"/>
  <c r="I126" i="2"/>
  <c r="J126" i="2"/>
  <c r="K126" i="2"/>
  <c r="L126" i="2"/>
  <c r="M126" i="2"/>
  <c r="N126" i="2"/>
  <c r="E127" i="2"/>
  <c r="F127" i="2"/>
  <c r="G127" i="2"/>
  <c r="H127" i="2"/>
  <c r="I127" i="2"/>
  <c r="J127" i="2"/>
  <c r="K127" i="2"/>
  <c r="L127" i="2"/>
  <c r="M127" i="2"/>
  <c r="N127" i="2"/>
  <c r="E128" i="2"/>
  <c r="F128" i="2"/>
  <c r="G128" i="2"/>
  <c r="H128" i="2"/>
  <c r="I128" i="2"/>
  <c r="J128" i="2"/>
  <c r="K128" i="2"/>
  <c r="L128" i="2"/>
  <c r="M128" i="2"/>
  <c r="N128" i="2"/>
  <c r="E129" i="2"/>
  <c r="F129" i="2"/>
  <c r="G129" i="2"/>
  <c r="H129" i="2"/>
  <c r="I129" i="2"/>
  <c r="J129" i="2"/>
  <c r="K129" i="2"/>
  <c r="L129" i="2"/>
  <c r="M129" i="2"/>
  <c r="N129" i="2"/>
  <c r="E130" i="2"/>
  <c r="F130" i="2"/>
  <c r="G130" i="2"/>
  <c r="H130" i="2"/>
  <c r="I130" i="2"/>
  <c r="J130" i="2"/>
  <c r="K130" i="2"/>
  <c r="L130" i="2"/>
  <c r="M130" i="2"/>
  <c r="N130" i="2"/>
  <c r="E131" i="2"/>
  <c r="F131" i="2"/>
  <c r="G131" i="2"/>
  <c r="H131" i="2"/>
  <c r="I131" i="2"/>
  <c r="J131" i="2"/>
  <c r="K131" i="2"/>
  <c r="L131" i="2"/>
  <c r="M131" i="2"/>
  <c r="N131" i="2"/>
  <c r="E132" i="2"/>
  <c r="F132" i="2"/>
  <c r="G132" i="2"/>
  <c r="H132" i="2"/>
  <c r="I132" i="2"/>
  <c r="J132" i="2"/>
  <c r="K132" i="2"/>
  <c r="L132" i="2"/>
  <c r="M132" i="2"/>
  <c r="N132" i="2"/>
  <c r="E133" i="2"/>
  <c r="F133" i="2"/>
  <c r="G133" i="2"/>
  <c r="H133" i="2"/>
  <c r="I133" i="2"/>
  <c r="J133" i="2"/>
  <c r="K133" i="2"/>
  <c r="L133" i="2"/>
  <c r="M133" i="2"/>
  <c r="N133" i="2"/>
  <c r="E134" i="2"/>
  <c r="F134" i="2"/>
  <c r="G134" i="2"/>
  <c r="H134" i="2"/>
  <c r="I134" i="2"/>
  <c r="J134" i="2"/>
  <c r="K134" i="2"/>
  <c r="L134" i="2"/>
  <c r="M134" i="2"/>
  <c r="N134" i="2"/>
  <c r="E135" i="2"/>
  <c r="F135" i="2"/>
  <c r="G135" i="2"/>
  <c r="H135" i="2"/>
  <c r="I135" i="2"/>
  <c r="J135" i="2"/>
  <c r="K135" i="2"/>
  <c r="L135" i="2"/>
  <c r="M135" i="2"/>
  <c r="N135" i="2"/>
  <c r="E136" i="2"/>
  <c r="F136" i="2"/>
  <c r="G136" i="2"/>
  <c r="H136" i="2"/>
  <c r="I136" i="2"/>
  <c r="J136" i="2"/>
  <c r="K136" i="2"/>
  <c r="L136" i="2"/>
  <c r="M136" i="2"/>
  <c r="N136" i="2"/>
  <c r="E137" i="2"/>
  <c r="F137" i="2"/>
  <c r="G137" i="2"/>
  <c r="H137" i="2"/>
  <c r="I137" i="2"/>
  <c r="J137" i="2"/>
  <c r="K137" i="2"/>
  <c r="L137" i="2"/>
  <c r="M137" i="2"/>
  <c r="N137" i="2"/>
  <c r="E138" i="2"/>
  <c r="F138" i="2"/>
  <c r="G138" i="2"/>
  <c r="H138" i="2"/>
  <c r="I138" i="2"/>
  <c r="J138" i="2"/>
  <c r="K138" i="2"/>
  <c r="L138" i="2"/>
  <c r="M138" i="2"/>
  <c r="N138" i="2"/>
  <c r="E139" i="2"/>
  <c r="F139" i="2"/>
  <c r="G139" i="2"/>
  <c r="H139" i="2"/>
  <c r="I139" i="2"/>
  <c r="J139" i="2"/>
  <c r="K139" i="2"/>
  <c r="L139" i="2"/>
  <c r="M139" i="2"/>
  <c r="N139" i="2"/>
  <c r="E140" i="2"/>
  <c r="F140" i="2"/>
  <c r="G140" i="2"/>
  <c r="H140" i="2"/>
  <c r="I140" i="2"/>
  <c r="J140" i="2"/>
  <c r="K140" i="2"/>
  <c r="L140" i="2"/>
  <c r="M140" i="2"/>
  <c r="N140" i="2"/>
  <c r="E141" i="2"/>
  <c r="F141" i="2"/>
  <c r="G141" i="2"/>
  <c r="H141" i="2"/>
  <c r="I141" i="2"/>
  <c r="J141" i="2"/>
  <c r="K141" i="2"/>
  <c r="L141" i="2"/>
  <c r="M141" i="2"/>
  <c r="N141" i="2"/>
  <c r="E142" i="2"/>
  <c r="F142" i="2"/>
  <c r="G142" i="2"/>
  <c r="H142" i="2"/>
  <c r="I142" i="2"/>
  <c r="J142" i="2"/>
  <c r="K142" i="2"/>
  <c r="L142" i="2"/>
  <c r="M142" i="2"/>
  <c r="N142" i="2"/>
  <c r="E143" i="2"/>
  <c r="F143" i="2"/>
  <c r="G143" i="2"/>
  <c r="H143" i="2"/>
  <c r="I143" i="2"/>
  <c r="J143" i="2"/>
  <c r="K143" i="2"/>
  <c r="L143" i="2"/>
  <c r="M143" i="2"/>
  <c r="N143" i="2"/>
  <c r="E144" i="2"/>
  <c r="F144" i="2"/>
  <c r="G144" i="2"/>
  <c r="H144" i="2"/>
  <c r="I144" i="2"/>
  <c r="J144" i="2"/>
  <c r="K144" i="2"/>
  <c r="L144" i="2"/>
  <c r="M144" i="2"/>
  <c r="N144" i="2"/>
  <c r="E145" i="2"/>
  <c r="F145" i="2"/>
  <c r="G145" i="2"/>
  <c r="H145" i="2"/>
  <c r="I145" i="2"/>
  <c r="J145" i="2"/>
  <c r="K145" i="2"/>
  <c r="L145" i="2"/>
  <c r="M145" i="2"/>
  <c r="N145" i="2"/>
  <c r="E146" i="2"/>
  <c r="F146" i="2"/>
  <c r="G146" i="2"/>
  <c r="H146" i="2"/>
  <c r="I146" i="2"/>
  <c r="J146" i="2"/>
  <c r="K146" i="2"/>
  <c r="L146" i="2"/>
  <c r="M146" i="2"/>
  <c r="N146" i="2"/>
  <c r="E147" i="2"/>
  <c r="F147" i="2"/>
  <c r="G147" i="2"/>
  <c r="H147" i="2"/>
  <c r="I147" i="2"/>
  <c r="J147" i="2"/>
  <c r="K147" i="2"/>
  <c r="L147" i="2"/>
  <c r="M147" i="2"/>
  <c r="N147" i="2"/>
  <c r="E148" i="2"/>
  <c r="F148" i="2"/>
  <c r="G148" i="2"/>
  <c r="H148" i="2"/>
  <c r="I148" i="2"/>
  <c r="J148" i="2"/>
  <c r="K148" i="2"/>
  <c r="L148" i="2"/>
  <c r="M148" i="2"/>
  <c r="N148" i="2"/>
  <c r="E149" i="2"/>
  <c r="F149" i="2"/>
  <c r="G149" i="2"/>
  <c r="H149" i="2"/>
  <c r="I149" i="2"/>
  <c r="J149" i="2"/>
  <c r="K149" i="2"/>
  <c r="L149" i="2"/>
  <c r="M149" i="2"/>
  <c r="N149" i="2"/>
  <c r="E150" i="2"/>
  <c r="F150" i="2"/>
  <c r="G150" i="2"/>
  <c r="H150" i="2"/>
  <c r="I150" i="2"/>
  <c r="J150" i="2"/>
  <c r="K150" i="2"/>
  <c r="L150" i="2"/>
  <c r="M150" i="2"/>
  <c r="N150" i="2"/>
  <c r="E151" i="2"/>
  <c r="F151" i="2"/>
  <c r="G151" i="2"/>
  <c r="H151" i="2"/>
  <c r="I151" i="2"/>
  <c r="J151" i="2"/>
  <c r="K151" i="2"/>
  <c r="L151" i="2"/>
  <c r="M151" i="2"/>
  <c r="N151" i="2"/>
  <c r="E152" i="2"/>
  <c r="F152" i="2"/>
  <c r="G152" i="2"/>
  <c r="H152" i="2"/>
  <c r="I152" i="2"/>
  <c r="J152" i="2"/>
  <c r="K152" i="2"/>
  <c r="L152" i="2"/>
  <c r="M152" i="2"/>
  <c r="N152" i="2"/>
  <c r="E153" i="2"/>
  <c r="F153" i="2"/>
  <c r="G153" i="2"/>
  <c r="H153" i="2"/>
  <c r="I153" i="2"/>
  <c r="J153" i="2"/>
  <c r="K153" i="2"/>
  <c r="L153" i="2"/>
  <c r="M153" i="2"/>
  <c r="N153" i="2"/>
  <c r="E154" i="2"/>
  <c r="F154" i="2"/>
  <c r="G154" i="2"/>
  <c r="H154" i="2"/>
  <c r="I154" i="2"/>
  <c r="J154" i="2"/>
  <c r="K154" i="2"/>
  <c r="L154" i="2"/>
  <c r="M154" i="2"/>
  <c r="N154" i="2"/>
  <c r="E155" i="2"/>
  <c r="F155" i="2"/>
  <c r="G155" i="2"/>
  <c r="H155" i="2"/>
  <c r="I155" i="2"/>
  <c r="J155" i="2"/>
  <c r="K155" i="2"/>
  <c r="L155" i="2"/>
  <c r="M155" i="2"/>
  <c r="N155" i="2"/>
  <c r="E156" i="2"/>
  <c r="F156" i="2"/>
  <c r="G156" i="2"/>
  <c r="H156" i="2"/>
  <c r="I156" i="2"/>
  <c r="J156" i="2"/>
  <c r="K156" i="2"/>
  <c r="L156" i="2"/>
  <c r="M156" i="2"/>
  <c r="N156" i="2"/>
  <c r="E157" i="2"/>
  <c r="F157" i="2"/>
  <c r="G157" i="2"/>
  <c r="H157" i="2"/>
  <c r="I157" i="2"/>
  <c r="J157" i="2"/>
  <c r="K157" i="2"/>
  <c r="L157" i="2"/>
  <c r="M157" i="2"/>
  <c r="N157" i="2"/>
  <c r="E158" i="2"/>
  <c r="F158" i="2"/>
  <c r="G158" i="2"/>
  <c r="H158" i="2"/>
  <c r="I158" i="2"/>
  <c r="J158" i="2"/>
  <c r="K158" i="2"/>
  <c r="L158" i="2"/>
  <c r="M158" i="2"/>
  <c r="N158" i="2"/>
  <c r="E159" i="2"/>
  <c r="F159" i="2"/>
  <c r="G159" i="2"/>
  <c r="H159" i="2"/>
  <c r="I159" i="2"/>
  <c r="J159" i="2"/>
  <c r="K159" i="2"/>
  <c r="L159" i="2"/>
  <c r="M159" i="2"/>
  <c r="N159" i="2"/>
  <c r="E160" i="2"/>
  <c r="F160" i="2"/>
  <c r="G160" i="2"/>
  <c r="H160" i="2"/>
  <c r="I160" i="2"/>
  <c r="J160" i="2"/>
  <c r="K160" i="2"/>
  <c r="L160" i="2"/>
  <c r="M160" i="2"/>
  <c r="N160" i="2"/>
  <c r="N2" i="3"/>
  <c r="M2" i="3"/>
  <c r="L2" i="3"/>
  <c r="K2" i="3"/>
  <c r="J2" i="3"/>
  <c r="I2" i="3"/>
  <c r="H2" i="3"/>
  <c r="G2" i="3"/>
  <c r="F2" i="3"/>
  <c r="E2" i="3"/>
  <c r="N2" i="2"/>
  <c r="M2" i="2"/>
  <c r="L2" i="2"/>
  <c r="K2" i="2"/>
  <c r="J2" i="2"/>
  <c r="I2" i="2"/>
  <c r="H2" i="2"/>
  <c r="G2" i="2"/>
  <c r="F2" i="2"/>
  <c r="E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7422C6E1-6C54-4193-96D6-640C871069B4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€/MWh</t>
        </r>
      </text>
    </comment>
    <comment ref="D1" authorId="0" shapeId="0" xr:uid="{0811E22C-837C-4EDE-9D8B-71232249A48E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81D7284F-D931-4D0A-8404-24D48A150E00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TWh/a</t>
        </r>
      </text>
    </comment>
    <comment ref="D1" authorId="0" shapeId="0" xr:uid="{777D14AF-0216-4805-A0A7-96B3AF7037A6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DE065DB3-ED42-45B9-9D50-79F6FD74AA3A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TWh/a</t>
        </r>
      </text>
    </comment>
    <comment ref="D1" authorId="0" shapeId="0" xr:uid="{3A76CCD2-5A38-4485-9513-145436FA5777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sharedStrings.xml><?xml version="1.0" encoding="utf-8"?>
<sst xmlns="http://schemas.openxmlformats.org/spreadsheetml/2006/main" count="1476" uniqueCount="176">
  <si>
    <t>scenario</t>
  </si>
  <si>
    <t>Base</t>
  </si>
  <si>
    <t>h2</t>
  </si>
  <si>
    <t>region</t>
  </si>
  <si>
    <t>EU-DEU</t>
  </si>
  <si>
    <t>EU-FIN</t>
  </si>
  <si>
    <t>EU-FRA</t>
  </si>
  <si>
    <t>EU-DNK</t>
  </si>
  <si>
    <t>commodity</t>
  </si>
  <si>
    <t>EU-NLD</t>
  </si>
  <si>
    <t>ds_p_0</t>
  </si>
  <si>
    <t>ds_p_10</t>
  </si>
  <si>
    <t>ds_p_20</t>
  </si>
  <si>
    <t>ds_p_40</t>
  </si>
  <si>
    <t>ds_p_60</t>
  </si>
  <si>
    <t>ds_p_80</t>
  </si>
  <si>
    <t>ds_m_10</t>
  </si>
  <si>
    <t>ds_m_20</t>
  </si>
  <si>
    <t>ds_m_40</t>
  </si>
  <si>
    <t>ds_m_60</t>
  </si>
  <si>
    <t>ds_m_80</t>
  </si>
  <si>
    <t>EU-ALB</t>
  </si>
  <si>
    <t>EU-ARM</t>
  </si>
  <si>
    <t>EU-AUT</t>
  </si>
  <si>
    <t>EU-AZE</t>
  </si>
  <si>
    <t>EU-BEL</t>
  </si>
  <si>
    <t>EU-BGR</t>
  </si>
  <si>
    <t>EU-BIH</t>
  </si>
  <si>
    <t>EU-CHE</t>
  </si>
  <si>
    <t>EU-CZE</t>
  </si>
  <si>
    <t>EU-ESP</t>
  </si>
  <si>
    <t>EU-EST</t>
  </si>
  <si>
    <t>EU-GBR</t>
  </si>
  <si>
    <t>EU-GEO</t>
  </si>
  <si>
    <t>EU-GRC</t>
  </si>
  <si>
    <t>EU-HRV</t>
  </si>
  <si>
    <t>EU-HUN</t>
  </si>
  <si>
    <t>EU-IRL</t>
  </si>
  <si>
    <t>EU-ISL</t>
  </si>
  <si>
    <t>EU-ITA</t>
  </si>
  <si>
    <t>EU-LTU</t>
  </si>
  <si>
    <t>EU-LUX</t>
  </si>
  <si>
    <t>EU-LVA</t>
  </si>
  <si>
    <t>EU-MDA</t>
  </si>
  <si>
    <t>EU-MKD</t>
  </si>
  <si>
    <t>EU-MNE</t>
  </si>
  <si>
    <t>EU-NOR</t>
  </si>
  <si>
    <t>EU-POL</t>
  </si>
  <si>
    <t>EU-PRT</t>
  </si>
  <si>
    <t>EU-ROU</t>
  </si>
  <si>
    <t>EU-SRB</t>
  </si>
  <si>
    <t>EU-SVK</t>
  </si>
  <si>
    <t>EU-SVN</t>
  </si>
  <si>
    <t>EU-SWE</t>
  </si>
  <si>
    <t>EU-UKR</t>
  </si>
  <si>
    <t>NA-CAN</t>
  </si>
  <si>
    <t>NA-CRI</t>
  </si>
  <si>
    <t>NA-CUB</t>
  </si>
  <si>
    <t>NA-DOM</t>
  </si>
  <si>
    <t>NA-GTM</t>
  </si>
  <si>
    <t>NA-HND</t>
  </si>
  <si>
    <t>NA-HTI</t>
  </si>
  <si>
    <t>NA-JAM</t>
  </si>
  <si>
    <t>NA-MEX</t>
  </si>
  <si>
    <t>NA-NIC</t>
  </si>
  <si>
    <t>NA-PAN</t>
  </si>
  <si>
    <t>NA-SLV</t>
  </si>
  <si>
    <t>NA-TTO</t>
  </si>
  <si>
    <t>NA-USA</t>
  </si>
  <si>
    <t>OC-AUS</t>
  </si>
  <si>
    <t>OC-NZL</t>
  </si>
  <si>
    <t>OC-PNG</t>
  </si>
  <si>
    <t>SA-ARG</t>
  </si>
  <si>
    <t>SA-BOL</t>
  </si>
  <si>
    <t>SA-BRA</t>
  </si>
  <si>
    <t>SA-CHL</t>
  </si>
  <si>
    <t>SA-COL</t>
  </si>
  <si>
    <t>SA-ECU</t>
  </si>
  <si>
    <t>SA-GUY</t>
  </si>
  <si>
    <t>SA-PER</t>
  </si>
  <si>
    <t>SA-PRY</t>
  </si>
  <si>
    <t>SA-SUR</t>
  </si>
  <si>
    <t>SA-URY</t>
  </si>
  <si>
    <t>SA-VEN</t>
  </si>
  <si>
    <t>AS-AFG</t>
  </si>
  <si>
    <t>AS-ARE</t>
  </si>
  <si>
    <t>AS-BGD</t>
  </si>
  <si>
    <t>AS-BHR</t>
  </si>
  <si>
    <t>AS-BRN</t>
  </si>
  <si>
    <t>AS-BTN</t>
  </si>
  <si>
    <t>AS-CHN</t>
  </si>
  <si>
    <t>AS-IDN</t>
  </si>
  <si>
    <t>AS-IND</t>
  </si>
  <si>
    <t>AS-IRN</t>
  </si>
  <si>
    <t>AS-IRQ</t>
  </si>
  <si>
    <t>AS-ISR</t>
  </si>
  <si>
    <t>AS-JOR</t>
  </si>
  <si>
    <t>AS-JPN</t>
  </si>
  <si>
    <t>AS-KAZ</t>
  </si>
  <si>
    <t>AS-KGZ</t>
  </si>
  <si>
    <t>AS-KHM</t>
  </si>
  <si>
    <t>AS-KOR</t>
  </si>
  <si>
    <t>AS-KWT</t>
  </si>
  <si>
    <t>AS-LAO</t>
  </si>
  <si>
    <t>AS-LBN</t>
  </si>
  <si>
    <t>AS-LKA</t>
  </si>
  <si>
    <t>AS-MMR</t>
  </si>
  <si>
    <t>AS-MNG</t>
  </si>
  <si>
    <t>AS-MYS</t>
  </si>
  <si>
    <t>AS-NPL</t>
  </si>
  <si>
    <t>AS-OMN</t>
  </si>
  <si>
    <t>AS-PAK</t>
  </si>
  <si>
    <t>AS-PHL</t>
  </si>
  <si>
    <t>AS-PRK</t>
  </si>
  <si>
    <t>AS-QAT</t>
  </si>
  <si>
    <t>AS-RUS</t>
  </si>
  <si>
    <t>AS-SAU</t>
  </si>
  <si>
    <t>AS-SGP</t>
  </si>
  <si>
    <t>AS-SYR</t>
  </si>
  <si>
    <t>AS-THA</t>
  </si>
  <si>
    <t>AS-TJK</t>
  </si>
  <si>
    <t>AS-TKM</t>
  </si>
  <si>
    <t>AS-TUR</t>
  </si>
  <si>
    <t>AS-TWN</t>
  </si>
  <si>
    <t>AS-UZB</t>
  </si>
  <si>
    <t>AS-VNM</t>
  </si>
  <si>
    <t>AS-YEM</t>
  </si>
  <si>
    <t>AF-AGO</t>
  </si>
  <si>
    <t>AF-BDI</t>
  </si>
  <si>
    <t>AF-BEN</t>
  </si>
  <si>
    <t>AF-BFA</t>
  </si>
  <si>
    <t>AF-BWA</t>
  </si>
  <si>
    <t>AF-CAF</t>
  </si>
  <si>
    <t>AF-CIV</t>
  </si>
  <si>
    <t>AF-CMR</t>
  </si>
  <si>
    <t>AF-COD</t>
  </si>
  <si>
    <t>AF-COG</t>
  </si>
  <si>
    <t>AF-DJI</t>
  </si>
  <si>
    <t>AF-DZA</t>
  </si>
  <si>
    <t>AF-EGY</t>
  </si>
  <si>
    <t>AF-ERI</t>
  </si>
  <si>
    <t>AF-ETH</t>
  </si>
  <si>
    <t>AF-GAB</t>
  </si>
  <si>
    <t>AF-GHA</t>
  </si>
  <si>
    <t>AF-GIN</t>
  </si>
  <si>
    <t>AF-GMB</t>
  </si>
  <si>
    <t>AF-GNB</t>
  </si>
  <si>
    <t>AF-GNQ</t>
  </si>
  <si>
    <t>AF-KEN</t>
  </si>
  <si>
    <t>AF-LBR</t>
  </si>
  <si>
    <t>AF-LBY</t>
  </si>
  <si>
    <t>AF-LSO</t>
  </si>
  <si>
    <t>AF-MAR</t>
  </si>
  <si>
    <t>AF-MDG</t>
  </si>
  <si>
    <t>AF-MLI</t>
  </si>
  <si>
    <t>AF-MOZ</t>
  </si>
  <si>
    <t>AF-MRT</t>
  </si>
  <si>
    <t>AF-MWI</t>
  </si>
  <si>
    <t>AF-NAM</t>
  </si>
  <si>
    <t>AF-NER</t>
  </si>
  <si>
    <t>AF-NGA</t>
  </si>
  <si>
    <t>AF-RWA</t>
  </si>
  <si>
    <t>AF-SDN</t>
  </si>
  <si>
    <t>AF-SEN</t>
  </si>
  <si>
    <t>AF-SLE</t>
  </si>
  <si>
    <t>AF-SOM</t>
  </si>
  <si>
    <t>AF-SWZ</t>
  </si>
  <si>
    <t>AF-TCD</t>
  </si>
  <si>
    <t>AF-TGO</t>
  </si>
  <si>
    <t>AF-TUN</t>
  </si>
  <si>
    <t>AF-TZA</t>
  </si>
  <si>
    <t>AF-UGA</t>
  </si>
  <si>
    <t>AF-ZAF</t>
  </si>
  <si>
    <t>AF-ZMB</t>
  </si>
  <si>
    <t>AF-ZWE</t>
  </si>
  <si>
    <t>EU-BLR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</si>
</sst>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7"/>
      <color rgb="FFBBBEBF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1" fontId="0" fillId="3" borderId="0" xfId="0" applyNumberFormat="1" applyFill="1"/>
    <xf numFmtId="1" fontId="0" fillId="4" borderId="0" xfId="0" applyNumberFormat="1" applyFill="1"/>
    <xf numFmtId="0" fontId="4" fillId="0" borderId="0" xfId="0" applyNumberFormat="1" applyFont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1"/>
  <sheetViews>
    <sheetView zoomScale="70" zoomScaleNormal="70" workbookViewId="0">
      <selection activeCell="V20" sqref="V20"/>
    </sheetView>
  </sheetViews>
  <sheetFormatPr baseColWidth="10" defaultColWidth="8.7265625" defaultRowHeight="14.5" x14ac:dyDescent="0.35"/>
  <cols>
    <col min="1" max="1" width="7.453125" bestFit="1" customWidth="1"/>
    <col min="2" max="2" width="10.453125" bestFit="1" customWidth="1"/>
    <col min="3" max="3" width="8" bestFit="1" customWidth="1"/>
    <col min="4" max="4" width="6.81640625" style="1" bestFit="1" customWidth="1"/>
    <col min="5" max="9" width="7.81640625" style="1" bestFit="1" customWidth="1"/>
    <col min="10" max="14" width="8.36328125" style="1" bestFit="1" customWidth="1"/>
  </cols>
  <sheetData>
    <row r="1" spans="1:14" x14ac:dyDescent="0.35">
      <c r="A1" t="s">
        <v>3</v>
      </c>
      <c r="B1" t="s">
        <v>8</v>
      </c>
      <c r="C1" t="s">
        <v>0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</row>
    <row r="2" spans="1:14" x14ac:dyDescent="0.35">
      <c r="A2" t="s">
        <v>21</v>
      </c>
      <c r="B2" t="s">
        <v>2</v>
      </c>
      <c r="C2" t="s">
        <v>1</v>
      </c>
      <c r="D2" s="5">
        <v>51.387999999999998</v>
      </c>
      <c r="E2" s="5">
        <v>52.946399999999997</v>
      </c>
      <c r="F2" s="5">
        <v>53.441200000000002</v>
      </c>
      <c r="G2" s="5">
        <v>54.441499999999998</v>
      </c>
      <c r="H2" s="5">
        <v>55.3812</v>
      </c>
      <c r="I2" s="5">
        <v>55.694600000000001</v>
      </c>
      <c r="J2" s="5">
        <v>51.7973</v>
      </c>
      <c r="K2" s="5">
        <v>51.300400000000003</v>
      </c>
      <c r="L2" s="5">
        <v>50.531599999999997</v>
      </c>
      <c r="M2" s="5">
        <v>49.403199999999998</v>
      </c>
      <c r="N2" s="5">
        <v>48.394199999999998</v>
      </c>
    </row>
    <row r="3" spans="1:14" x14ac:dyDescent="0.35">
      <c r="A3" t="s">
        <v>22</v>
      </c>
      <c r="B3" t="s">
        <v>2</v>
      </c>
      <c r="C3" t="s">
        <v>1</v>
      </c>
      <c r="D3" s="5">
        <v>83.899699999999996</v>
      </c>
      <c r="E3" s="5">
        <v>84.204499999999996</v>
      </c>
      <c r="F3" s="5">
        <v>85.298599999999993</v>
      </c>
      <c r="G3" s="5">
        <v>86.467299999999994</v>
      </c>
      <c r="H3" s="5">
        <v>86.487200000000001</v>
      </c>
      <c r="I3" s="5">
        <v>88.052599999999998</v>
      </c>
      <c r="J3" s="5">
        <v>82.267300000000006</v>
      </c>
      <c r="K3" s="5">
        <v>81.436300000000003</v>
      </c>
      <c r="L3" s="5">
        <v>80.105800000000002</v>
      </c>
      <c r="M3" s="5">
        <v>79.376300000000001</v>
      </c>
      <c r="N3" s="5">
        <v>77.669399999999996</v>
      </c>
    </row>
    <row r="4" spans="1:14" x14ac:dyDescent="0.35">
      <c r="A4" t="s">
        <v>23</v>
      </c>
      <c r="B4" t="s">
        <v>2</v>
      </c>
      <c r="C4" t="s">
        <v>1</v>
      </c>
      <c r="D4" s="5">
        <v>73.554699999999997</v>
      </c>
      <c r="E4" s="5">
        <v>75.645799999999994</v>
      </c>
      <c r="F4" s="5">
        <v>76.429900000000004</v>
      </c>
      <c r="G4" s="5">
        <v>77.6143</v>
      </c>
      <c r="H4" s="5">
        <v>80.520300000000006</v>
      </c>
      <c r="I4" s="5">
        <v>82.441699999999997</v>
      </c>
      <c r="J4" s="5">
        <v>73.145399999999995</v>
      </c>
      <c r="K4" s="5">
        <v>72.249600000000001</v>
      </c>
      <c r="L4" s="5">
        <v>72.297600000000003</v>
      </c>
      <c r="M4" s="5">
        <v>71.215100000000007</v>
      </c>
      <c r="N4" s="5">
        <v>69.941800000000001</v>
      </c>
    </row>
    <row r="5" spans="1:14" x14ac:dyDescent="0.35">
      <c r="A5" t="s">
        <v>24</v>
      </c>
      <c r="B5" t="s">
        <v>2</v>
      </c>
      <c r="C5" t="s">
        <v>1</v>
      </c>
      <c r="D5" s="5">
        <v>73.490600000000001</v>
      </c>
      <c r="E5" s="5">
        <v>74.927099999999996</v>
      </c>
      <c r="F5" s="5">
        <v>75.368600000000001</v>
      </c>
      <c r="G5" s="5">
        <v>76.048100000000005</v>
      </c>
      <c r="H5" s="5">
        <v>76.162599999999998</v>
      </c>
      <c r="I5" s="5">
        <v>77.186999999999998</v>
      </c>
      <c r="J5" s="5">
        <v>73.779700000000005</v>
      </c>
      <c r="K5" s="5">
        <v>73.272199999999998</v>
      </c>
      <c r="L5" s="5">
        <v>71.400899999999993</v>
      </c>
      <c r="M5" s="5">
        <v>71.483500000000006</v>
      </c>
      <c r="N5" s="5">
        <v>70.948599999999999</v>
      </c>
    </row>
    <row r="6" spans="1:14" x14ac:dyDescent="0.35">
      <c r="A6" t="s">
        <v>25</v>
      </c>
      <c r="B6" t="s">
        <v>2</v>
      </c>
      <c r="C6" t="s">
        <v>1</v>
      </c>
      <c r="D6" s="5">
        <v>73.782600000000002</v>
      </c>
      <c r="E6" s="5">
        <v>75.228899999999996</v>
      </c>
      <c r="F6" s="5">
        <v>76.215199999999996</v>
      </c>
      <c r="G6" s="5">
        <v>79.032499999999999</v>
      </c>
      <c r="H6" s="5">
        <v>79.959000000000003</v>
      </c>
      <c r="I6" s="5">
        <v>80.633300000000006</v>
      </c>
      <c r="J6" s="5">
        <v>73.372500000000002</v>
      </c>
      <c r="K6" s="5">
        <v>72.124700000000004</v>
      </c>
      <c r="L6" s="5">
        <v>70.279899999999998</v>
      </c>
      <c r="M6" s="5">
        <v>68.194400000000002</v>
      </c>
      <c r="N6" s="5">
        <v>65.524000000000001</v>
      </c>
    </row>
    <row r="7" spans="1:14" x14ac:dyDescent="0.35">
      <c r="A7" t="s">
        <v>26</v>
      </c>
      <c r="B7" t="s">
        <v>2</v>
      </c>
      <c r="C7" t="s">
        <v>1</v>
      </c>
      <c r="D7" s="5">
        <v>71.229900000000001</v>
      </c>
      <c r="E7" s="5">
        <v>72.776700000000005</v>
      </c>
      <c r="F7" s="5">
        <v>71.778999999999996</v>
      </c>
      <c r="G7" s="5">
        <v>73.880600000000001</v>
      </c>
      <c r="H7" s="5">
        <v>74.7958</v>
      </c>
      <c r="I7" s="5">
        <v>75.0732</v>
      </c>
      <c r="J7" s="5">
        <v>72.333200000000005</v>
      </c>
      <c r="K7" s="5">
        <v>71.794600000000003</v>
      </c>
      <c r="L7" s="5">
        <v>70.316500000000005</v>
      </c>
      <c r="M7" s="5">
        <v>69.419700000000006</v>
      </c>
      <c r="N7" s="5">
        <v>67.944800000000001</v>
      </c>
    </row>
    <row r="8" spans="1:14" x14ac:dyDescent="0.35">
      <c r="A8" t="s">
        <v>27</v>
      </c>
      <c r="B8" t="s">
        <v>2</v>
      </c>
      <c r="C8" t="s">
        <v>1</v>
      </c>
      <c r="D8" s="5">
        <v>82.868099999999998</v>
      </c>
      <c r="E8" s="5">
        <v>85.126300000000001</v>
      </c>
      <c r="F8" s="5">
        <v>86.520499999999998</v>
      </c>
      <c r="G8" s="5">
        <v>87.899799999999999</v>
      </c>
      <c r="H8" s="5">
        <v>90.225700000000003</v>
      </c>
      <c r="I8" s="5">
        <v>93.405900000000003</v>
      </c>
      <c r="J8" s="5">
        <v>83.479100000000003</v>
      </c>
      <c r="K8" s="5">
        <v>83.418599999999998</v>
      </c>
      <c r="L8" s="5">
        <v>81.327600000000004</v>
      </c>
      <c r="M8" s="5">
        <v>79.378399999999999</v>
      </c>
      <c r="N8" s="5">
        <v>74.769000000000005</v>
      </c>
    </row>
    <row r="9" spans="1:14" x14ac:dyDescent="0.35">
      <c r="A9" t="s">
        <v>175</v>
      </c>
      <c r="B9" t="s">
        <v>2</v>
      </c>
      <c r="C9" t="s">
        <v>1</v>
      </c>
      <c r="D9" s="5">
        <v>135.46299999999999</v>
      </c>
      <c r="E9" s="5">
        <v>135.63999999999999</v>
      </c>
      <c r="F9" s="5">
        <v>135.78299999999999</v>
      </c>
      <c r="G9" s="5">
        <v>136.72800000000001</v>
      </c>
      <c r="H9" s="5">
        <v>137.75800000000001</v>
      </c>
      <c r="I9" s="5">
        <v>138.03</v>
      </c>
      <c r="J9" s="5">
        <v>133.84299999999999</v>
      </c>
      <c r="K9" s="5">
        <v>133.327</v>
      </c>
      <c r="L9" s="5">
        <v>135.28299999999999</v>
      </c>
      <c r="M9" s="5">
        <v>135.435</v>
      </c>
      <c r="N9" s="5">
        <v>134.44399999999999</v>
      </c>
    </row>
    <row r="10" spans="1:14" x14ac:dyDescent="0.35">
      <c r="A10" t="s">
        <v>28</v>
      </c>
      <c r="B10" t="s">
        <v>2</v>
      </c>
      <c r="C10" t="s">
        <v>1</v>
      </c>
      <c r="D10" s="5">
        <v>85.460499999999996</v>
      </c>
      <c r="E10" s="5">
        <v>83.657700000000006</v>
      </c>
      <c r="F10" s="5">
        <v>84.864800000000002</v>
      </c>
      <c r="G10" s="5">
        <v>85.916600000000003</v>
      </c>
      <c r="H10" s="5">
        <v>86.6751</v>
      </c>
      <c r="I10" s="5">
        <v>88.715299999999999</v>
      </c>
      <c r="J10" s="5">
        <v>80.412000000000006</v>
      </c>
      <c r="K10" s="5">
        <v>61.119399999999999</v>
      </c>
      <c r="L10" s="5">
        <v>69.868499999999997</v>
      </c>
      <c r="M10" s="5">
        <v>54.776200000000003</v>
      </c>
      <c r="N10" s="5">
        <v>64.557000000000002</v>
      </c>
    </row>
    <row r="11" spans="1:14" x14ac:dyDescent="0.35">
      <c r="A11" t="s">
        <v>29</v>
      </c>
      <c r="B11" t="s">
        <v>2</v>
      </c>
      <c r="C11" t="s">
        <v>1</v>
      </c>
      <c r="D11" s="5">
        <v>64.909899999999993</v>
      </c>
      <c r="E11" s="5">
        <v>66.120500000000007</v>
      </c>
      <c r="F11" s="5">
        <v>66.236199999999997</v>
      </c>
      <c r="G11" s="5">
        <v>67.218699999999998</v>
      </c>
      <c r="H11" s="5">
        <v>72.056700000000006</v>
      </c>
      <c r="I11" s="5">
        <v>73.077500000000001</v>
      </c>
      <c r="J11" s="5">
        <v>63.997199999999999</v>
      </c>
      <c r="K11" s="5">
        <v>63.4848</v>
      </c>
      <c r="L11" s="5">
        <v>62.321199999999997</v>
      </c>
      <c r="M11" s="5">
        <v>59.451599999999999</v>
      </c>
      <c r="N11" s="5">
        <v>58.584899999999998</v>
      </c>
    </row>
    <row r="12" spans="1:14" x14ac:dyDescent="0.35">
      <c r="A12" t="s">
        <v>4</v>
      </c>
      <c r="B12" t="s">
        <v>2</v>
      </c>
      <c r="C12" t="s">
        <v>1</v>
      </c>
      <c r="D12" s="5">
        <v>61.042000000000002</v>
      </c>
      <c r="E12" s="5">
        <v>62.049199999999999</v>
      </c>
      <c r="F12" s="5">
        <v>62.837400000000002</v>
      </c>
      <c r="G12" s="5">
        <v>63.572400000000002</v>
      </c>
      <c r="H12" s="5">
        <v>65.194599999999994</v>
      </c>
      <c r="I12" s="5">
        <v>67.074200000000005</v>
      </c>
      <c r="J12" s="5">
        <v>60.968699999999998</v>
      </c>
      <c r="K12" s="5">
        <v>60.095100000000002</v>
      </c>
      <c r="L12" s="5">
        <v>58.875999999999998</v>
      </c>
      <c r="M12" s="5">
        <v>55.699300000000001</v>
      </c>
      <c r="N12" s="5">
        <v>52.659500000000001</v>
      </c>
    </row>
    <row r="13" spans="1:14" x14ac:dyDescent="0.35">
      <c r="A13" t="s">
        <v>7</v>
      </c>
      <c r="B13" t="s">
        <v>2</v>
      </c>
      <c r="C13" t="s">
        <v>1</v>
      </c>
      <c r="D13" s="5">
        <v>35.120199999999997</v>
      </c>
      <c r="E13" s="5">
        <v>35.619599999999998</v>
      </c>
      <c r="F13" s="5">
        <v>35.658700000000003</v>
      </c>
      <c r="G13" s="5">
        <v>36.166200000000003</v>
      </c>
      <c r="H13" s="5">
        <v>36.9711</v>
      </c>
      <c r="I13" s="5">
        <v>37.8367</v>
      </c>
      <c r="J13" s="5">
        <v>34.755099999999999</v>
      </c>
      <c r="K13" s="5">
        <v>33.951900000000002</v>
      </c>
      <c r="L13" s="5">
        <v>32.494</v>
      </c>
      <c r="M13" s="5">
        <v>28.360499999999998</v>
      </c>
      <c r="N13" s="5">
        <v>24.780899999999999</v>
      </c>
    </row>
    <row r="14" spans="1:14" x14ac:dyDescent="0.35">
      <c r="A14" t="s">
        <v>30</v>
      </c>
      <c r="B14" t="s">
        <v>2</v>
      </c>
      <c r="C14" t="s">
        <v>1</v>
      </c>
      <c r="D14" s="5">
        <v>53.491100000000003</v>
      </c>
      <c r="E14" s="5">
        <v>53.843299999999999</v>
      </c>
      <c r="F14" s="5">
        <v>55.208799999999997</v>
      </c>
      <c r="G14" s="5">
        <v>55.418300000000002</v>
      </c>
      <c r="H14" s="5">
        <v>56.148200000000003</v>
      </c>
      <c r="I14" s="5">
        <v>56.917000000000002</v>
      </c>
      <c r="J14" s="5">
        <v>52.643999999999998</v>
      </c>
      <c r="K14" s="5">
        <v>52.297800000000002</v>
      </c>
      <c r="L14" s="5">
        <v>50.1738</v>
      </c>
      <c r="M14" s="5">
        <v>49.018999999999998</v>
      </c>
      <c r="N14" s="5">
        <v>47.8461</v>
      </c>
    </row>
    <row r="15" spans="1:14" x14ac:dyDescent="0.35">
      <c r="A15" t="s">
        <v>31</v>
      </c>
      <c r="B15" t="s">
        <v>2</v>
      </c>
      <c r="C15" t="s">
        <v>1</v>
      </c>
      <c r="D15" s="5">
        <v>43.700099999999999</v>
      </c>
      <c r="E15" s="5">
        <v>43.8583</v>
      </c>
      <c r="F15" s="5">
        <v>44.404600000000002</v>
      </c>
      <c r="G15" s="5">
        <v>44.304900000000004</v>
      </c>
      <c r="H15" s="5">
        <v>45.064799999999998</v>
      </c>
      <c r="I15" s="5">
        <v>46.133400000000002</v>
      </c>
      <c r="J15" s="5">
        <v>43.0931</v>
      </c>
      <c r="K15" s="5">
        <v>42.8596</v>
      </c>
      <c r="L15" s="5">
        <v>41.809399999999997</v>
      </c>
      <c r="M15" s="5">
        <v>40.456099999999999</v>
      </c>
      <c r="N15" s="5">
        <v>39.711500000000001</v>
      </c>
    </row>
    <row r="16" spans="1:14" x14ac:dyDescent="0.35">
      <c r="A16" t="s">
        <v>5</v>
      </c>
      <c r="B16" t="s">
        <v>2</v>
      </c>
      <c r="C16" t="s">
        <v>1</v>
      </c>
      <c r="D16" s="5">
        <v>51.040199999999999</v>
      </c>
      <c r="E16" s="5">
        <v>52.585599999999999</v>
      </c>
      <c r="F16" s="5">
        <v>52.829099999999997</v>
      </c>
      <c r="G16" s="5">
        <v>52.871000000000002</v>
      </c>
      <c r="H16" s="5">
        <v>53.700600000000001</v>
      </c>
      <c r="I16" s="5">
        <v>54.241100000000003</v>
      </c>
      <c r="J16" s="5">
        <v>50.247300000000003</v>
      </c>
      <c r="K16" s="5">
        <v>50.304000000000002</v>
      </c>
      <c r="L16" s="5">
        <v>48.303100000000001</v>
      </c>
      <c r="M16" s="5">
        <v>47.2239</v>
      </c>
      <c r="N16" s="5">
        <v>45.528500000000001</v>
      </c>
    </row>
    <row r="17" spans="1:14" x14ac:dyDescent="0.35">
      <c r="A17" t="s">
        <v>6</v>
      </c>
      <c r="B17" t="s">
        <v>2</v>
      </c>
      <c r="C17" t="s">
        <v>1</v>
      </c>
      <c r="D17" s="5">
        <v>34.260899999999999</v>
      </c>
      <c r="E17" s="5">
        <v>34.953099999999999</v>
      </c>
      <c r="F17" s="5">
        <v>34.957299999999996</v>
      </c>
      <c r="G17" s="5">
        <v>35.323</v>
      </c>
      <c r="H17" s="5">
        <v>35.471600000000002</v>
      </c>
      <c r="I17" s="5">
        <v>35.583300000000001</v>
      </c>
      <c r="J17" s="5">
        <v>33.768799999999999</v>
      </c>
      <c r="K17" s="5">
        <v>33.142400000000002</v>
      </c>
      <c r="L17" s="5">
        <v>32.377899999999997</v>
      </c>
      <c r="M17" s="5">
        <v>31.658000000000001</v>
      </c>
      <c r="N17" s="5">
        <v>30.62</v>
      </c>
    </row>
    <row r="18" spans="1:14" x14ac:dyDescent="0.35">
      <c r="A18" t="s">
        <v>32</v>
      </c>
      <c r="B18" t="s">
        <v>2</v>
      </c>
      <c r="C18" t="s">
        <v>1</v>
      </c>
      <c r="D18" s="5">
        <v>29.233000000000001</v>
      </c>
      <c r="E18" s="5">
        <v>30.3687</v>
      </c>
      <c r="F18" s="5">
        <v>30.956600000000002</v>
      </c>
      <c r="G18" s="5">
        <v>32.212400000000002</v>
      </c>
      <c r="H18" s="5">
        <v>32.7545</v>
      </c>
      <c r="I18" s="5">
        <v>33.560899999999997</v>
      </c>
      <c r="J18" s="5">
        <v>28.4742</v>
      </c>
      <c r="K18" s="5">
        <v>28.261299999999999</v>
      </c>
      <c r="L18" s="5">
        <v>27.690999999999999</v>
      </c>
      <c r="M18" s="5">
        <v>26.792400000000001</v>
      </c>
      <c r="N18" s="5">
        <v>25.770199999999999</v>
      </c>
    </row>
    <row r="19" spans="1:14" x14ac:dyDescent="0.35">
      <c r="A19" t="s">
        <v>33</v>
      </c>
      <c r="B19" t="s">
        <v>2</v>
      </c>
      <c r="C19" t="s">
        <v>1</v>
      </c>
      <c r="D19" s="5">
        <v>75.007000000000005</v>
      </c>
      <c r="E19" s="5">
        <v>76.789299999999997</v>
      </c>
      <c r="F19" s="5">
        <v>77.578500000000005</v>
      </c>
      <c r="G19" s="5">
        <v>77.895799999999994</v>
      </c>
      <c r="H19" s="5">
        <v>78.028599999999997</v>
      </c>
      <c r="I19" s="5">
        <v>79.328400000000002</v>
      </c>
      <c r="J19" s="5">
        <v>75.837299999999999</v>
      </c>
      <c r="K19" s="5">
        <v>75.232200000000006</v>
      </c>
      <c r="L19" s="5">
        <v>73.045699999999997</v>
      </c>
      <c r="M19" s="5">
        <v>73.2637</v>
      </c>
      <c r="N19" s="5">
        <v>72.489000000000004</v>
      </c>
    </row>
    <row r="20" spans="1:14" x14ac:dyDescent="0.35">
      <c r="A20" t="s">
        <v>34</v>
      </c>
      <c r="B20" t="s">
        <v>2</v>
      </c>
      <c r="C20" t="s">
        <v>1</v>
      </c>
      <c r="D20" s="5">
        <v>55.8157</v>
      </c>
      <c r="E20" s="5">
        <v>56.860700000000001</v>
      </c>
      <c r="F20" s="5">
        <v>57.374099999999999</v>
      </c>
      <c r="G20" s="5">
        <v>58.363500000000002</v>
      </c>
      <c r="H20" s="5">
        <v>59.417099999999998</v>
      </c>
      <c r="I20" s="5">
        <v>60.581299999999999</v>
      </c>
      <c r="J20" s="5">
        <v>55.994</v>
      </c>
      <c r="K20" s="5">
        <v>55.422800000000002</v>
      </c>
      <c r="L20" s="5">
        <v>50.786799999999999</v>
      </c>
      <c r="M20" s="5">
        <v>48.902000000000001</v>
      </c>
      <c r="N20" s="5">
        <v>49.041200000000003</v>
      </c>
    </row>
    <row r="21" spans="1:14" x14ac:dyDescent="0.35">
      <c r="A21" t="s">
        <v>35</v>
      </c>
      <c r="B21" t="s">
        <v>2</v>
      </c>
      <c r="C21" t="s">
        <v>1</v>
      </c>
      <c r="D21" s="5">
        <v>55.925800000000002</v>
      </c>
      <c r="E21" s="5">
        <v>56.425899999999999</v>
      </c>
      <c r="F21" s="5">
        <v>56.875999999999998</v>
      </c>
      <c r="G21" s="5">
        <v>57.5762</v>
      </c>
      <c r="H21" s="5">
        <v>57.803199999999997</v>
      </c>
      <c r="I21" s="5">
        <v>58.452399999999997</v>
      </c>
      <c r="J21" s="5">
        <v>55.448599999999999</v>
      </c>
      <c r="K21" s="5">
        <v>55.350700000000003</v>
      </c>
      <c r="L21" s="5">
        <v>54.809699999999999</v>
      </c>
      <c r="M21" s="5">
        <v>53.631100000000004</v>
      </c>
      <c r="N21" s="5">
        <v>53.204300000000003</v>
      </c>
    </row>
    <row r="22" spans="1:14" x14ac:dyDescent="0.35">
      <c r="A22" t="s">
        <v>36</v>
      </c>
      <c r="B22" t="s">
        <v>2</v>
      </c>
      <c r="C22" t="s">
        <v>1</v>
      </c>
      <c r="D22" s="5">
        <v>84.778000000000006</v>
      </c>
      <c r="E22" s="5">
        <v>84.995900000000006</v>
      </c>
      <c r="F22" s="5">
        <v>85.390199999999993</v>
      </c>
      <c r="G22" s="5">
        <v>86.313199999999995</v>
      </c>
      <c r="H22" s="5">
        <v>88.671999999999997</v>
      </c>
      <c r="I22" s="5">
        <v>91.170400000000001</v>
      </c>
      <c r="J22" s="5">
        <v>84.330399999999997</v>
      </c>
      <c r="K22" s="5">
        <v>83.590900000000005</v>
      </c>
      <c r="L22" s="5">
        <v>80.347800000000007</v>
      </c>
      <c r="M22" s="5">
        <v>78.546300000000002</v>
      </c>
      <c r="N22" s="5">
        <v>74.835899999999995</v>
      </c>
    </row>
    <row r="23" spans="1:14" x14ac:dyDescent="0.35">
      <c r="A23" t="s">
        <v>37</v>
      </c>
      <c r="B23" t="s">
        <v>2</v>
      </c>
      <c r="C23" t="s">
        <v>1</v>
      </c>
      <c r="D23" s="5">
        <v>47.314799999999998</v>
      </c>
      <c r="E23" s="5">
        <v>47.500900000000001</v>
      </c>
      <c r="F23" s="5">
        <v>48.6783</v>
      </c>
      <c r="G23" s="5">
        <v>47.821300000000001</v>
      </c>
      <c r="H23" s="5">
        <v>50.859299999999998</v>
      </c>
      <c r="I23" s="5">
        <v>54.664200000000001</v>
      </c>
      <c r="J23" s="5">
        <v>46.565199999999997</v>
      </c>
      <c r="K23" s="5">
        <v>44.390300000000003</v>
      </c>
      <c r="L23" s="5">
        <v>40.983800000000002</v>
      </c>
      <c r="M23" s="5">
        <v>35.4587</v>
      </c>
      <c r="N23" s="5">
        <v>32.472000000000001</v>
      </c>
    </row>
    <row r="24" spans="1:14" x14ac:dyDescent="0.35">
      <c r="A24" t="s">
        <v>38</v>
      </c>
      <c r="B24" t="s">
        <v>2</v>
      </c>
      <c r="C24" t="s">
        <v>1</v>
      </c>
      <c r="D24" s="5">
        <v>40.206000000000003</v>
      </c>
      <c r="E24" s="5">
        <v>39.7286</v>
      </c>
      <c r="F24" s="5">
        <v>40.7271</v>
      </c>
      <c r="G24" s="5">
        <v>40.213700000000003</v>
      </c>
      <c r="H24" s="5">
        <v>41.315399999999997</v>
      </c>
      <c r="I24" s="5">
        <v>41.523899999999998</v>
      </c>
      <c r="J24" s="5">
        <v>39.691299999999998</v>
      </c>
      <c r="K24" s="5">
        <v>39.228999999999999</v>
      </c>
      <c r="L24" s="5">
        <v>39.040700000000001</v>
      </c>
      <c r="M24" s="5">
        <v>39.456099999999999</v>
      </c>
      <c r="N24" s="5">
        <v>38.372100000000003</v>
      </c>
    </row>
    <row r="25" spans="1:14" x14ac:dyDescent="0.35">
      <c r="A25" t="s">
        <v>39</v>
      </c>
      <c r="B25" t="s">
        <v>2</v>
      </c>
      <c r="C25" t="s">
        <v>1</v>
      </c>
      <c r="D25" s="5">
        <v>58.566800000000001</v>
      </c>
      <c r="E25" s="5">
        <v>60.430500000000002</v>
      </c>
      <c r="F25" s="5">
        <v>61.293999999999997</v>
      </c>
      <c r="G25" s="5">
        <v>61.662500000000001</v>
      </c>
      <c r="H25" s="5">
        <v>62.838999999999999</v>
      </c>
      <c r="I25" s="5">
        <v>64.008300000000006</v>
      </c>
      <c r="J25" s="5">
        <v>59.391300000000001</v>
      </c>
      <c r="K25" s="5">
        <v>58.545000000000002</v>
      </c>
      <c r="L25" s="5">
        <v>55.950899999999997</v>
      </c>
      <c r="M25" s="5">
        <v>55.261499999999998</v>
      </c>
      <c r="N25" s="5">
        <v>53.544499999999999</v>
      </c>
    </row>
    <row r="26" spans="1:14" x14ac:dyDescent="0.35">
      <c r="A26" t="s">
        <v>40</v>
      </c>
      <c r="B26" t="s">
        <v>2</v>
      </c>
      <c r="C26" t="s">
        <v>1</v>
      </c>
      <c r="D26" s="5">
        <v>58.278500000000001</v>
      </c>
      <c r="E26" s="5">
        <v>58.567900000000002</v>
      </c>
      <c r="F26" s="5">
        <v>59.175600000000003</v>
      </c>
      <c r="G26" s="5">
        <v>59.7515</v>
      </c>
      <c r="H26" s="5">
        <v>60.392099999999999</v>
      </c>
      <c r="I26" s="5">
        <v>60.532899999999998</v>
      </c>
      <c r="J26" s="5">
        <v>57.7042</v>
      </c>
      <c r="K26" s="5">
        <v>57.495399999999997</v>
      </c>
      <c r="L26" s="5">
        <v>55.657699999999998</v>
      </c>
      <c r="M26" s="5">
        <v>55.394500000000001</v>
      </c>
      <c r="N26" s="5">
        <v>54.436100000000003</v>
      </c>
    </row>
    <row r="27" spans="1:14" x14ac:dyDescent="0.35">
      <c r="A27" t="s">
        <v>41</v>
      </c>
      <c r="B27" t="s">
        <v>2</v>
      </c>
      <c r="C27" t="s">
        <v>1</v>
      </c>
      <c r="D27" s="5">
        <v>82.169399999999996</v>
      </c>
      <c r="E27" s="5">
        <v>83.910600000000002</v>
      </c>
      <c r="F27" s="5">
        <v>85.287499999999994</v>
      </c>
      <c r="G27" s="5">
        <v>87.274100000000004</v>
      </c>
      <c r="H27" s="5">
        <v>89.438400000000001</v>
      </c>
      <c r="I27" s="5">
        <v>92.436400000000006</v>
      </c>
      <c r="J27" s="5">
        <v>81.430400000000006</v>
      </c>
      <c r="K27" s="5">
        <v>80.800799999999995</v>
      </c>
      <c r="L27" s="5">
        <v>79.107600000000005</v>
      </c>
      <c r="M27" s="5">
        <v>77.335999999999999</v>
      </c>
      <c r="N27" s="5">
        <v>76.170599999999993</v>
      </c>
    </row>
    <row r="28" spans="1:14" x14ac:dyDescent="0.35">
      <c r="A28" t="s">
        <v>42</v>
      </c>
      <c r="B28" t="s">
        <v>2</v>
      </c>
      <c r="C28" t="s">
        <v>1</v>
      </c>
      <c r="D28" s="5">
        <v>48.878300000000003</v>
      </c>
      <c r="E28" s="5">
        <v>49.368499999999997</v>
      </c>
      <c r="F28" s="5">
        <v>50.31</v>
      </c>
      <c r="G28" s="5">
        <v>51.037399999999998</v>
      </c>
      <c r="H28" s="5">
        <v>51.179699999999997</v>
      </c>
      <c r="I28" s="5">
        <v>51.833599999999997</v>
      </c>
      <c r="J28" s="5">
        <v>48.481299999999997</v>
      </c>
      <c r="K28" s="5">
        <v>48.279899999999998</v>
      </c>
      <c r="L28" s="5">
        <v>47.671700000000001</v>
      </c>
      <c r="M28" s="5">
        <v>48.231900000000003</v>
      </c>
      <c r="N28" s="5">
        <v>46.7072</v>
      </c>
    </row>
    <row r="29" spans="1:14" x14ac:dyDescent="0.35">
      <c r="A29" t="s">
        <v>43</v>
      </c>
      <c r="B29" t="s">
        <v>2</v>
      </c>
      <c r="C29" t="s">
        <v>1</v>
      </c>
      <c r="D29" s="5">
        <v>98.800399999999996</v>
      </c>
      <c r="E29" s="5">
        <v>99.938800000000001</v>
      </c>
      <c r="F29" s="5">
        <v>100.10599999999999</v>
      </c>
      <c r="G29" s="5">
        <v>100.227</v>
      </c>
      <c r="H29" s="5">
        <v>100.247</v>
      </c>
      <c r="I29" s="5">
        <v>100.535</v>
      </c>
      <c r="J29" s="5">
        <v>99.709500000000006</v>
      </c>
      <c r="K29" s="5">
        <v>99.7149</v>
      </c>
      <c r="L29" s="5">
        <v>99.27</v>
      </c>
      <c r="M29" s="5">
        <v>98.723600000000005</v>
      </c>
      <c r="N29" s="5">
        <v>98.385099999999994</v>
      </c>
    </row>
    <row r="30" spans="1:14" x14ac:dyDescent="0.35">
      <c r="A30" t="s">
        <v>44</v>
      </c>
      <c r="B30" t="s">
        <v>2</v>
      </c>
      <c r="C30" t="s">
        <v>1</v>
      </c>
      <c r="D30" s="5">
        <v>77.434700000000007</v>
      </c>
      <c r="E30" s="5">
        <v>77.773300000000006</v>
      </c>
      <c r="F30" s="5">
        <v>77.787999999999997</v>
      </c>
      <c r="G30" s="5">
        <v>78.888499999999993</v>
      </c>
      <c r="H30" s="5">
        <v>79.8215</v>
      </c>
      <c r="I30" s="5">
        <v>80.817899999999995</v>
      </c>
      <c r="J30" s="5">
        <v>76.864699999999999</v>
      </c>
      <c r="K30" s="5">
        <v>76.192800000000005</v>
      </c>
      <c r="L30" s="5">
        <v>75.187399999999997</v>
      </c>
      <c r="M30" s="5">
        <v>74.161600000000007</v>
      </c>
      <c r="N30" s="5">
        <v>72.876099999999994</v>
      </c>
    </row>
    <row r="31" spans="1:14" x14ac:dyDescent="0.35">
      <c r="A31" t="s">
        <v>45</v>
      </c>
      <c r="B31" t="s">
        <v>2</v>
      </c>
      <c r="C31" t="s">
        <v>1</v>
      </c>
      <c r="D31" s="5">
        <v>45.098399999999998</v>
      </c>
      <c r="E31" s="5">
        <v>45.493400000000001</v>
      </c>
      <c r="F31" s="5">
        <v>45.5227</v>
      </c>
      <c r="G31" s="5">
        <v>45.763399999999997</v>
      </c>
      <c r="H31" s="5">
        <v>46.1723</v>
      </c>
      <c r="I31" s="5">
        <v>46.048900000000003</v>
      </c>
      <c r="J31" s="5">
        <v>45.657600000000002</v>
      </c>
      <c r="K31" s="5">
        <v>45.4788</v>
      </c>
      <c r="L31" s="5">
        <v>45.661999999999999</v>
      </c>
      <c r="M31" s="5">
        <v>44.016100000000002</v>
      </c>
      <c r="N31" s="5">
        <v>43.850299999999997</v>
      </c>
    </row>
    <row r="32" spans="1:14" x14ac:dyDescent="0.35">
      <c r="A32" t="s">
        <v>9</v>
      </c>
      <c r="B32" t="s">
        <v>2</v>
      </c>
      <c r="C32" t="s">
        <v>1</v>
      </c>
      <c r="D32" s="5">
        <v>60.516599999999997</v>
      </c>
      <c r="E32" s="5">
        <v>61.645299999999999</v>
      </c>
      <c r="F32" s="5">
        <v>62.482100000000003</v>
      </c>
      <c r="G32" s="5">
        <v>64.161900000000003</v>
      </c>
      <c r="H32" s="5">
        <v>64.614900000000006</v>
      </c>
      <c r="I32" s="5">
        <v>65.279200000000003</v>
      </c>
      <c r="J32" s="5">
        <v>60.448500000000003</v>
      </c>
      <c r="K32" s="5">
        <v>60.227899999999998</v>
      </c>
      <c r="L32" s="5">
        <v>59.955300000000001</v>
      </c>
      <c r="M32" s="5">
        <v>58.318600000000004</v>
      </c>
      <c r="N32" s="5">
        <v>55.2851</v>
      </c>
    </row>
    <row r="33" spans="1:14" x14ac:dyDescent="0.35">
      <c r="A33" t="s">
        <v>46</v>
      </c>
      <c r="B33" t="s">
        <v>2</v>
      </c>
      <c r="C33" t="s">
        <v>1</v>
      </c>
      <c r="D33" s="5">
        <v>25.666499999999999</v>
      </c>
      <c r="E33" s="5">
        <v>26.8506</v>
      </c>
      <c r="F33" s="5">
        <v>27.3218</v>
      </c>
      <c r="G33" s="5">
        <v>28.8369</v>
      </c>
      <c r="H33" s="5">
        <v>29.9727</v>
      </c>
      <c r="I33" s="5">
        <v>30.728200000000001</v>
      </c>
      <c r="J33" s="5">
        <v>24.9755</v>
      </c>
      <c r="K33" s="5">
        <v>24.414999999999999</v>
      </c>
      <c r="L33" s="5">
        <v>22.782599999999999</v>
      </c>
      <c r="M33" s="5">
        <v>20.3185</v>
      </c>
      <c r="N33" s="5">
        <v>18.405899999999999</v>
      </c>
    </row>
    <row r="34" spans="1:14" x14ac:dyDescent="0.35">
      <c r="A34" t="s">
        <v>47</v>
      </c>
      <c r="B34" t="s">
        <v>2</v>
      </c>
      <c r="C34" t="s">
        <v>1</v>
      </c>
      <c r="D34" s="5">
        <v>61.325000000000003</v>
      </c>
      <c r="E34" s="5">
        <v>61.653399999999998</v>
      </c>
      <c r="F34" s="5">
        <v>62.152099999999997</v>
      </c>
      <c r="G34" s="5">
        <v>60.876600000000003</v>
      </c>
      <c r="H34" s="5">
        <v>61.424500000000002</v>
      </c>
      <c r="I34" s="5">
        <v>61.828699999999998</v>
      </c>
      <c r="J34" s="5">
        <v>61.721800000000002</v>
      </c>
      <c r="K34" s="5">
        <v>62.023000000000003</v>
      </c>
      <c r="L34" s="5">
        <v>60.781199999999998</v>
      </c>
      <c r="M34" s="5">
        <v>61.311300000000003</v>
      </c>
      <c r="N34" s="5">
        <v>56.7181</v>
      </c>
    </row>
    <row r="35" spans="1:14" x14ac:dyDescent="0.35">
      <c r="A35" t="s">
        <v>48</v>
      </c>
      <c r="B35" t="s">
        <v>2</v>
      </c>
      <c r="C35" t="s">
        <v>1</v>
      </c>
      <c r="D35" s="5">
        <v>57.508099999999999</v>
      </c>
      <c r="E35" s="5">
        <v>59.196599999999997</v>
      </c>
      <c r="F35" s="5">
        <v>61.445700000000002</v>
      </c>
      <c r="G35" s="5">
        <v>63.241100000000003</v>
      </c>
      <c r="H35" s="5">
        <v>65.835400000000007</v>
      </c>
      <c r="I35" s="5">
        <v>67.747</v>
      </c>
      <c r="J35" s="5">
        <v>56.199599999999997</v>
      </c>
      <c r="K35" s="5">
        <v>55.278300000000002</v>
      </c>
      <c r="L35" s="5">
        <v>52.691299999999998</v>
      </c>
      <c r="M35" s="5">
        <v>50.618299999999998</v>
      </c>
      <c r="N35" s="5">
        <v>49.579900000000002</v>
      </c>
    </row>
    <row r="36" spans="1:14" x14ac:dyDescent="0.35">
      <c r="A36" t="s">
        <v>49</v>
      </c>
      <c r="B36" t="s">
        <v>2</v>
      </c>
      <c r="C36" t="s">
        <v>1</v>
      </c>
      <c r="D36" s="5">
        <v>83.450199999999995</v>
      </c>
      <c r="E36" s="5">
        <v>84.149500000000003</v>
      </c>
      <c r="F36" s="5">
        <v>84.5304</v>
      </c>
      <c r="G36" s="5">
        <v>85.695499999999996</v>
      </c>
      <c r="H36" s="5">
        <v>87.188500000000005</v>
      </c>
      <c r="I36" s="5">
        <v>89.854200000000006</v>
      </c>
      <c r="J36" s="5">
        <v>82.58</v>
      </c>
      <c r="K36" s="5">
        <v>82.230900000000005</v>
      </c>
      <c r="L36" s="5">
        <v>79.847499999999997</v>
      </c>
      <c r="M36" s="5">
        <v>77.060100000000006</v>
      </c>
      <c r="N36" s="5">
        <v>75.178600000000003</v>
      </c>
    </row>
    <row r="37" spans="1:14" x14ac:dyDescent="0.35">
      <c r="A37" t="s">
        <v>50</v>
      </c>
      <c r="B37" t="s">
        <v>2</v>
      </c>
      <c r="C37" t="s">
        <v>1</v>
      </c>
      <c r="D37" s="5">
        <v>61.4208</v>
      </c>
      <c r="E37" s="5">
        <v>61.201700000000002</v>
      </c>
      <c r="F37" s="5">
        <v>61.364899999999999</v>
      </c>
      <c r="G37" s="5">
        <v>60.563099999999999</v>
      </c>
      <c r="H37" s="5">
        <v>60.909799999999997</v>
      </c>
      <c r="I37" s="5">
        <v>60.895699999999998</v>
      </c>
      <c r="J37" s="5">
        <v>61.268999999999998</v>
      </c>
      <c r="K37" s="5">
        <v>60.954500000000003</v>
      </c>
      <c r="L37" s="5">
        <v>61.572600000000001</v>
      </c>
      <c r="M37" s="5">
        <v>62.322600000000001</v>
      </c>
      <c r="N37" s="5">
        <v>62.346800000000002</v>
      </c>
    </row>
    <row r="38" spans="1:14" x14ac:dyDescent="0.35">
      <c r="A38" t="s">
        <v>51</v>
      </c>
      <c r="B38" t="s">
        <v>2</v>
      </c>
      <c r="C38" t="s">
        <v>1</v>
      </c>
      <c r="D38" s="5">
        <v>83.131100000000004</v>
      </c>
      <c r="E38" s="5">
        <v>84.034000000000006</v>
      </c>
      <c r="F38" s="5">
        <v>83.926199999999994</v>
      </c>
      <c r="G38" s="5">
        <v>83.652500000000003</v>
      </c>
      <c r="H38" s="5">
        <v>84.421400000000006</v>
      </c>
      <c r="I38" s="5">
        <v>86.355599999999995</v>
      </c>
      <c r="J38" s="5">
        <v>81.935500000000005</v>
      </c>
      <c r="K38" s="5">
        <v>81.526200000000003</v>
      </c>
      <c r="L38" s="5">
        <v>77.740700000000004</v>
      </c>
      <c r="M38" s="5">
        <v>74.633700000000005</v>
      </c>
      <c r="N38" s="5">
        <v>71.446100000000001</v>
      </c>
    </row>
    <row r="39" spans="1:14" x14ac:dyDescent="0.35">
      <c r="A39" t="s">
        <v>52</v>
      </c>
      <c r="B39" t="s">
        <v>2</v>
      </c>
      <c r="C39" t="s">
        <v>1</v>
      </c>
      <c r="D39" s="5">
        <v>81.370800000000003</v>
      </c>
      <c r="E39" s="5">
        <v>82.660700000000006</v>
      </c>
      <c r="F39" s="5">
        <v>83.469200000000001</v>
      </c>
      <c r="G39" s="5">
        <v>85.286299999999997</v>
      </c>
      <c r="H39" s="5">
        <v>88.777199999999993</v>
      </c>
      <c r="I39" s="5">
        <v>90.921999999999997</v>
      </c>
      <c r="J39" s="5">
        <v>79.942800000000005</v>
      </c>
      <c r="K39" s="5">
        <v>77.930999999999997</v>
      </c>
      <c r="L39" s="5">
        <v>76.018100000000004</v>
      </c>
      <c r="M39" s="5">
        <v>73.4405</v>
      </c>
      <c r="N39" s="5">
        <v>71.863200000000006</v>
      </c>
    </row>
    <row r="40" spans="1:14" x14ac:dyDescent="0.35">
      <c r="A40" t="s">
        <v>53</v>
      </c>
      <c r="B40" t="s">
        <v>2</v>
      </c>
      <c r="C40" t="s">
        <v>1</v>
      </c>
      <c r="D40" s="5">
        <v>32.166200000000003</v>
      </c>
      <c r="E40" s="5">
        <v>33.504800000000003</v>
      </c>
      <c r="F40" s="5">
        <v>34.300699999999999</v>
      </c>
      <c r="G40" s="5">
        <v>35.992899999999999</v>
      </c>
      <c r="H40" s="5">
        <v>37.420299999999997</v>
      </c>
      <c r="I40" s="5">
        <v>38.571399999999997</v>
      </c>
      <c r="J40" s="5">
        <v>31.248799999999999</v>
      </c>
      <c r="K40" s="5">
        <v>30.352</v>
      </c>
      <c r="L40" s="5">
        <v>28.418099999999999</v>
      </c>
      <c r="M40" s="5">
        <v>25.420400000000001</v>
      </c>
      <c r="N40" s="5">
        <v>22.407</v>
      </c>
    </row>
    <row r="41" spans="1:14" x14ac:dyDescent="0.35">
      <c r="A41" t="s">
        <v>54</v>
      </c>
      <c r="B41" t="s">
        <v>2</v>
      </c>
      <c r="C41" t="s">
        <v>1</v>
      </c>
      <c r="D41" s="5">
        <v>105.474</v>
      </c>
      <c r="E41" s="5">
        <v>107.44499999999999</v>
      </c>
      <c r="F41" s="5">
        <v>107.66500000000001</v>
      </c>
      <c r="G41" s="5">
        <v>108.087</v>
      </c>
      <c r="H41" s="5">
        <v>108.48099999999999</v>
      </c>
      <c r="I41" s="5">
        <v>109.218</v>
      </c>
      <c r="J41" s="5">
        <v>107.279</v>
      </c>
      <c r="K41" s="5">
        <v>107.136</v>
      </c>
      <c r="L41" s="5">
        <v>106.345</v>
      </c>
      <c r="M41" s="5">
        <v>106.202</v>
      </c>
      <c r="N41" s="5">
        <v>105.59</v>
      </c>
    </row>
    <row r="42" spans="1:14" x14ac:dyDescent="0.35">
      <c r="A42" t="s">
        <v>72</v>
      </c>
      <c r="B42" t="s">
        <v>2</v>
      </c>
      <c r="C42" t="s">
        <v>1</v>
      </c>
      <c r="D42" s="4">
        <v>104.953</v>
      </c>
      <c r="E42" s="4">
        <v>104.53700000000001</v>
      </c>
      <c r="F42" s="4">
        <v>111.91200000000001</v>
      </c>
      <c r="G42" s="4">
        <v>119.42100000000001</v>
      </c>
      <c r="H42" s="4">
        <v>121.687</v>
      </c>
      <c r="I42" s="4">
        <v>119.453</v>
      </c>
      <c r="J42" s="4">
        <v>80.618600000000001</v>
      </c>
      <c r="K42" s="4">
        <v>87.304199999999994</v>
      </c>
      <c r="L42" s="4">
        <v>86.518500000000003</v>
      </c>
      <c r="M42" s="4">
        <v>80.461200000000005</v>
      </c>
      <c r="N42" s="4">
        <v>79.171899999999994</v>
      </c>
    </row>
    <row r="43" spans="1:14" x14ac:dyDescent="0.35">
      <c r="A43" t="s">
        <v>69</v>
      </c>
      <c r="B43" t="s">
        <v>2</v>
      </c>
      <c r="C43" t="s">
        <v>1</v>
      </c>
      <c r="D43" s="4">
        <v>81.560599999999994</v>
      </c>
      <c r="E43" s="4">
        <v>81.165400000000005</v>
      </c>
      <c r="F43" s="4">
        <v>81.356200000000001</v>
      </c>
      <c r="G43" s="4">
        <v>81.826499999999996</v>
      </c>
      <c r="H43" s="4">
        <v>81.756900000000002</v>
      </c>
      <c r="I43" s="4">
        <v>83.143199999999993</v>
      </c>
      <c r="J43" s="4">
        <v>80.803200000000004</v>
      </c>
      <c r="K43" s="4">
        <v>81.018199999999993</v>
      </c>
      <c r="L43" s="4">
        <v>79.100300000000004</v>
      </c>
      <c r="M43" s="4">
        <v>77.856800000000007</v>
      </c>
      <c r="N43" s="4">
        <v>77.043999999999997</v>
      </c>
    </row>
    <row r="44" spans="1:14" x14ac:dyDescent="0.35">
      <c r="A44" t="s">
        <v>73</v>
      </c>
      <c r="B44" t="s">
        <v>2</v>
      </c>
      <c r="C44" t="s">
        <v>1</v>
      </c>
      <c r="D44" s="4">
        <v>80.152500000000003</v>
      </c>
      <c r="E44" s="4">
        <v>80.022900000000007</v>
      </c>
      <c r="F44" s="4">
        <v>118.575</v>
      </c>
      <c r="G44" s="4">
        <v>122.509</v>
      </c>
      <c r="H44" s="4">
        <v>122.745</v>
      </c>
      <c r="I44" s="4">
        <v>122.601</v>
      </c>
      <c r="J44" s="4">
        <v>77.390199999999993</v>
      </c>
      <c r="K44" s="4">
        <v>79.531400000000005</v>
      </c>
      <c r="L44" s="4">
        <v>73.071600000000004</v>
      </c>
      <c r="M44" s="4">
        <v>79.566500000000005</v>
      </c>
      <c r="N44" s="4">
        <v>71.351500000000001</v>
      </c>
    </row>
    <row r="45" spans="1:14" x14ac:dyDescent="0.35">
      <c r="A45" t="s">
        <v>74</v>
      </c>
      <c r="B45" t="s">
        <v>2</v>
      </c>
      <c r="C45" t="s">
        <v>1</v>
      </c>
      <c r="D45" s="4">
        <v>66.039100000000005</v>
      </c>
      <c r="E45" s="4">
        <v>66.705600000000004</v>
      </c>
      <c r="F45" s="4">
        <v>66.974500000000006</v>
      </c>
      <c r="G45" s="4">
        <v>67.1524</v>
      </c>
      <c r="H45" s="4">
        <v>66.309700000000007</v>
      </c>
      <c r="I45" s="4">
        <v>66.8733</v>
      </c>
      <c r="J45" s="4">
        <v>65.935500000000005</v>
      </c>
      <c r="K45" s="4">
        <v>65.913399999999996</v>
      </c>
      <c r="L45" s="4">
        <v>65.143100000000004</v>
      </c>
      <c r="M45" s="4">
        <v>64.481700000000004</v>
      </c>
      <c r="N45" s="4">
        <v>64.131600000000006</v>
      </c>
    </row>
    <row r="46" spans="1:14" x14ac:dyDescent="0.35">
      <c r="A46" t="s">
        <v>55</v>
      </c>
      <c r="B46" t="s">
        <v>2</v>
      </c>
      <c r="C46" t="s">
        <v>1</v>
      </c>
      <c r="D46" s="4">
        <v>61.3934</v>
      </c>
      <c r="E46" s="4">
        <v>62.228999999999999</v>
      </c>
      <c r="F46" s="4">
        <v>62.402700000000003</v>
      </c>
      <c r="G46" s="4">
        <v>63.905000000000001</v>
      </c>
      <c r="H46" s="4">
        <v>67.269300000000001</v>
      </c>
      <c r="I46" s="4">
        <v>64.669300000000007</v>
      </c>
      <c r="J46" s="4">
        <v>63.4664</v>
      </c>
      <c r="K46" s="4">
        <v>61.452500000000001</v>
      </c>
      <c r="L46" s="4">
        <v>59.784300000000002</v>
      </c>
      <c r="M46" s="4">
        <v>59.609000000000002</v>
      </c>
      <c r="N46" s="4">
        <v>57.379399999999997</v>
      </c>
    </row>
    <row r="47" spans="1:14" x14ac:dyDescent="0.35">
      <c r="A47" t="s">
        <v>75</v>
      </c>
      <c r="B47" t="s">
        <v>2</v>
      </c>
      <c r="C47" t="s">
        <v>1</v>
      </c>
      <c r="D47" s="4">
        <v>56.541800000000002</v>
      </c>
      <c r="E47" s="4">
        <v>56.262500000000003</v>
      </c>
      <c r="F47" s="4">
        <v>56.5501</v>
      </c>
      <c r="G47" s="4">
        <v>55.8262</v>
      </c>
      <c r="H47" s="4">
        <v>55.386099999999999</v>
      </c>
      <c r="I47" s="4">
        <v>56.4572</v>
      </c>
      <c r="J47" s="4">
        <v>56.194899999999997</v>
      </c>
      <c r="K47" s="4">
        <v>56.6126</v>
      </c>
      <c r="L47" s="4">
        <v>55.801600000000001</v>
      </c>
      <c r="M47" s="4">
        <v>54.7318</v>
      </c>
      <c r="N47" s="4">
        <v>53.710099999999997</v>
      </c>
    </row>
    <row r="48" spans="1:14" x14ac:dyDescent="0.35">
      <c r="A48" t="s">
        <v>76</v>
      </c>
      <c r="B48" t="s">
        <v>2</v>
      </c>
      <c r="C48" t="s">
        <v>1</v>
      </c>
      <c r="D48" s="4">
        <v>68.901700000000005</v>
      </c>
      <c r="E48" s="4">
        <v>70.620800000000003</v>
      </c>
      <c r="F48" s="4">
        <v>70.210300000000004</v>
      </c>
      <c r="G48" s="4">
        <v>70.058700000000002</v>
      </c>
      <c r="H48" s="4">
        <v>72.362300000000005</v>
      </c>
      <c r="I48" s="4">
        <v>77.9482</v>
      </c>
      <c r="J48" s="4">
        <v>70.226200000000006</v>
      </c>
      <c r="K48" s="4">
        <v>70.613</v>
      </c>
      <c r="L48" s="4">
        <v>69.634600000000006</v>
      </c>
      <c r="M48" s="4">
        <v>68.704899999999995</v>
      </c>
      <c r="N48" s="4">
        <v>67.699600000000004</v>
      </c>
    </row>
    <row r="49" spans="1:14" x14ac:dyDescent="0.35">
      <c r="A49" t="s">
        <v>56</v>
      </c>
      <c r="B49" t="s">
        <v>2</v>
      </c>
      <c r="C49" t="s">
        <v>1</v>
      </c>
      <c r="D49" s="4">
        <v>79.1785</v>
      </c>
      <c r="E49" s="4">
        <v>79.968199999999996</v>
      </c>
      <c r="F49" s="4">
        <v>79.983599999999996</v>
      </c>
      <c r="G49" s="4">
        <v>103.861</v>
      </c>
      <c r="H49" s="4">
        <v>109.036</v>
      </c>
      <c r="I49" s="4">
        <v>109.73099999999999</v>
      </c>
      <c r="J49" s="4">
        <v>78.714100000000002</v>
      </c>
      <c r="K49" s="4">
        <v>77.842399999999998</v>
      </c>
      <c r="L49" s="4">
        <v>77.506399999999999</v>
      </c>
      <c r="M49" s="4">
        <v>76.134900000000002</v>
      </c>
      <c r="N49" s="4">
        <v>75.0809</v>
      </c>
    </row>
    <row r="50" spans="1:14" x14ac:dyDescent="0.35">
      <c r="A50" t="s">
        <v>57</v>
      </c>
      <c r="B50" t="s">
        <v>2</v>
      </c>
      <c r="C50" t="s">
        <v>1</v>
      </c>
      <c r="D50" s="4">
        <v>137.12100000000001</v>
      </c>
      <c r="E50" s="4">
        <v>136.66200000000001</v>
      </c>
      <c r="F50" s="4">
        <v>137.13300000000001</v>
      </c>
      <c r="G50" s="4">
        <v>138.667</v>
      </c>
      <c r="H50" s="4">
        <v>135.20699999999999</v>
      </c>
      <c r="I50" s="4">
        <v>141.44499999999999</v>
      </c>
      <c r="J50" s="4">
        <v>137.97</v>
      </c>
      <c r="K50" s="4">
        <v>137.898</v>
      </c>
      <c r="L50" s="4">
        <v>135.50200000000001</v>
      </c>
      <c r="M50" s="4">
        <v>137.94200000000001</v>
      </c>
      <c r="N50" s="4">
        <v>140.584</v>
      </c>
    </row>
    <row r="51" spans="1:14" x14ac:dyDescent="0.35">
      <c r="A51" t="s">
        <v>58</v>
      </c>
      <c r="B51" t="s">
        <v>2</v>
      </c>
      <c r="C51" t="s">
        <v>1</v>
      </c>
      <c r="D51" s="4">
        <v>98.084199999999996</v>
      </c>
      <c r="E51" s="4">
        <v>99.270099999999999</v>
      </c>
      <c r="F51" s="4">
        <v>99.877200000000002</v>
      </c>
      <c r="G51" s="4">
        <v>100.417</v>
      </c>
      <c r="H51" s="4">
        <v>106.01</v>
      </c>
      <c r="I51" s="4">
        <v>115.502</v>
      </c>
      <c r="J51" s="4">
        <v>96.768799999999999</v>
      </c>
      <c r="K51" s="4">
        <v>96.212299999999999</v>
      </c>
      <c r="L51" s="4">
        <v>87.500100000000003</v>
      </c>
      <c r="M51" s="4">
        <v>83.537999999999997</v>
      </c>
      <c r="N51" s="4">
        <v>81.927999999999997</v>
      </c>
    </row>
    <row r="52" spans="1:14" x14ac:dyDescent="0.35">
      <c r="A52" t="s">
        <v>77</v>
      </c>
      <c r="B52" t="s">
        <v>2</v>
      </c>
      <c r="C52" t="s">
        <v>1</v>
      </c>
      <c r="D52" s="4">
        <v>99.568299999999994</v>
      </c>
      <c r="E52" s="4">
        <v>106.3</v>
      </c>
      <c r="F52" s="4">
        <v>105.688</v>
      </c>
      <c r="G52" s="4">
        <v>109.842</v>
      </c>
      <c r="H52" s="4">
        <v>111.74</v>
      </c>
      <c r="I52" s="4">
        <v>112.852</v>
      </c>
      <c r="J52" s="4">
        <v>96.160700000000006</v>
      </c>
      <c r="K52" s="4">
        <v>80.095699999999994</v>
      </c>
      <c r="L52" s="4">
        <v>82.552199999999999</v>
      </c>
      <c r="M52" s="4">
        <v>79.684600000000003</v>
      </c>
      <c r="N52" s="4">
        <v>80.494900000000001</v>
      </c>
    </row>
    <row r="53" spans="1:14" x14ac:dyDescent="0.35">
      <c r="A53" t="s">
        <v>59</v>
      </c>
      <c r="B53" t="s">
        <v>2</v>
      </c>
      <c r="C53" t="s">
        <v>1</v>
      </c>
      <c r="D53" s="4">
        <v>80.094099999999997</v>
      </c>
      <c r="E53" s="4">
        <v>80.058899999999994</v>
      </c>
      <c r="F53" s="4">
        <v>92.364800000000002</v>
      </c>
      <c r="G53" s="4">
        <v>103.453</v>
      </c>
      <c r="H53" s="4">
        <v>104.512</v>
      </c>
      <c r="I53" s="4">
        <v>104.127</v>
      </c>
      <c r="J53" s="4">
        <v>79.375500000000002</v>
      </c>
      <c r="K53" s="4">
        <v>79.748599999999996</v>
      </c>
      <c r="L53" s="4">
        <v>78.747799999999998</v>
      </c>
      <c r="M53" s="4">
        <v>79.122699999999995</v>
      </c>
      <c r="N53" s="4">
        <v>75.637200000000007</v>
      </c>
    </row>
    <row r="54" spans="1:14" x14ac:dyDescent="0.35">
      <c r="A54" t="s">
        <v>78</v>
      </c>
      <c r="B54" t="s">
        <v>2</v>
      </c>
      <c r="C54" t="s">
        <v>1</v>
      </c>
      <c r="D54" s="4">
        <v>104.69799999999999</v>
      </c>
      <c r="E54" s="4">
        <v>107.503</v>
      </c>
      <c r="F54" s="4">
        <v>104.629</v>
      </c>
      <c r="G54" s="4">
        <v>106.70399999999999</v>
      </c>
      <c r="H54" s="4">
        <v>106.667</v>
      </c>
      <c r="I54" s="4">
        <v>106.726</v>
      </c>
      <c r="J54" s="4">
        <v>104.264</v>
      </c>
      <c r="K54" s="4">
        <v>104.11799999999999</v>
      </c>
      <c r="L54" s="4">
        <v>104.44</v>
      </c>
      <c r="M54" s="4">
        <v>105.398</v>
      </c>
      <c r="N54" s="4">
        <v>105.61499999999999</v>
      </c>
    </row>
    <row r="55" spans="1:14" x14ac:dyDescent="0.35">
      <c r="A55" t="s">
        <v>60</v>
      </c>
      <c r="B55" t="s">
        <v>2</v>
      </c>
      <c r="C55" t="s">
        <v>1</v>
      </c>
      <c r="D55" s="4">
        <v>81.935000000000002</v>
      </c>
      <c r="E55" s="4">
        <v>91.740600000000001</v>
      </c>
      <c r="F55" s="4">
        <v>94.990799999999993</v>
      </c>
      <c r="G55" s="4">
        <v>106.657</v>
      </c>
      <c r="H55" s="4">
        <v>109.52800000000001</v>
      </c>
      <c r="I55" s="4">
        <v>109.392</v>
      </c>
      <c r="J55" s="4">
        <v>78.904499999999999</v>
      </c>
      <c r="K55" s="4">
        <v>81.085099999999997</v>
      </c>
      <c r="L55" s="4">
        <v>85.913300000000007</v>
      </c>
      <c r="M55" s="4">
        <v>80.113799999999998</v>
      </c>
      <c r="N55" s="4">
        <v>79.266999999999996</v>
      </c>
    </row>
    <row r="56" spans="1:14" x14ac:dyDescent="0.35">
      <c r="A56" t="s">
        <v>61</v>
      </c>
      <c r="B56" t="s">
        <v>2</v>
      </c>
      <c r="C56" t="s">
        <v>1</v>
      </c>
      <c r="D56" s="4">
        <v>125.819</v>
      </c>
      <c r="E56" s="4">
        <v>131.089</v>
      </c>
      <c r="F56" s="4">
        <v>133.98599999999999</v>
      </c>
      <c r="G56" s="4">
        <v>137.38499999999999</v>
      </c>
      <c r="H56" s="4">
        <v>139.14500000000001</v>
      </c>
      <c r="I56" s="4">
        <v>130.20099999999999</v>
      </c>
      <c r="J56" s="4">
        <v>141.75</v>
      </c>
      <c r="K56" s="4">
        <v>126.38800000000001</v>
      </c>
      <c r="L56" s="4">
        <v>130.75800000000001</v>
      </c>
      <c r="M56" s="4">
        <v>152.28700000000001</v>
      </c>
      <c r="N56" s="4">
        <v>127.98399999999999</v>
      </c>
    </row>
    <row r="57" spans="1:14" x14ac:dyDescent="0.35">
      <c r="A57" t="s">
        <v>62</v>
      </c>
      <c r="B57" t="s">
        <v>2</v>
      </c>
      <c r="C57" t="s">
        <v>1</v>
      </c>
      <c r="D57" s="4">
        <v>116.63500000000001</v>
      </c>
      <c r="E57" s="4">
        <v>101.214</v>
      </c>
      <c r="F57" s="4">
        <v>101.063</v>
      </c>
      <c r="G57" s="4">
        <v>109.384</v>
      </c>
      <c r="H57" s="4">
        <v>119.76900000000001</v>
      </c>
      <c r="I57" s="4">
        <v>119.55800000000001</v>
      </c>
      <c r="J57" s="4">
        <v>107.53</v>
      </c>
      <c r="K57" s="4">
        <v>99.531199999999998</v>
      </c>
      <c r="L57" s="4">
        <v>105.464</v>
      </c>
      <c r="M57" s="4">
        <v>97.649000000000001</v>
      </c>
      <c r="N57" s="4">
        <v>90.975200000000001</v>
      </c>
    </row>
    <row r="58" spans="1:14" x14ac:dyDescent="0.35">
      <c r="A58" t="s">
        <v>63</v>
      </c>
      <c r="B58" t="s">
        <v>2</v>
      </c>
      <c r="C58" t="s">
        <v>1</v>
      </c>
      <c r="D58" s="4">
        <v>71.940299999999993</v>
      </c>
      <c r="E58" s="4">
        <v>74.477199999999996</v>
      </c>
      <c r="F58" s="4">
        <v>75.105900000000005</v>
      </c>
      <c r="G58" s="4">
        <v>74.0047</v>
      </c>
      <c r="H58" s="4">
        <v>75.532799999999995</v>
      </c>
      <c r="I58" s="4">
        <v>77.498599999999996</v>
      </c>
      <c r="J58" s="4">
        <v>73.198800000000006</v>
      </c>
      <c r="K58" s="4">
        <v>71.255799999999994</v>
      </c>
      <c r="L58" s="4">
        <v>70.526399999999995</v>
      </c>
      <c r="M58" s="4">
        <v>70.7958</v>
      </c>
      <c r="N58" s="4">
        <v>69.120199999999997</v>
      </c>
    </row>
    <row r="59" spans="1:14" x14ac:dyDescent="0.35">
      <c r="A59" t="s">
        <v>64</v>
      </c>
      <c r="B59" t="s">
        <v>2</v>
      </c>
      <c r="C59" t="s">
        <v>1</v>
      </c>
      <c r="D59" s="4">
        <v>83.4161</v>
      </c>
      <c r="E59" s="4">
        <v>73.983800000000002</v>
      </c>
      <c r="F59" s="4">
        <v>73.773799999999994</v>
      </c>
      <c r="G59" s="4">
        <v>73.866299999999995</v>
      </c>
      <c r="H59" s="4">
        <v>78.610699999999994</v>
      </c>
      <c r="I59" s="4">
        <v>75.717100000000002</v>
      </c>
      <c r="J59" s="4">
        <v>74.795000000000002</v>
      </c>
      <c r="K59" s="4">
        <v>75.423400000000001</v>
      </c>
      <c r="L59" s="4">
        <v>73.455600000000004</v>
      </c>
      <c r="M59" s="4">
        <v>72.532399999999996</v>
      </c>
      <c r="N59" s="4">
        <v>73.849299999999999</v>
      </c>
    </row>
    <row r="60" spans="1:14" x14ac:dyDescent="0.35">
      <c r="A60" t="s">
        <v>70</v>
      </c>
      <c r="B60" t="s">
        <v>2</v>
      </c>
      <c r="C60" t="s">
        <v>1</v>
      </c>
      <c r="D60" s="4">
        <v>98.407899999999998</v>
      </c>
      <c r="E60" s="4">
        <v>97.657700000000006</v>
      </c>
      <c r="F60" s="4">
        <v>99.310299999999998</v>
      </c>
      <c r="G60" s="4">
        <v>99.787099999999995</v>
      </c>
      <c r="H60" s="4">
        <v>100.66500000000001</v>
      </c>
      <c r="I60" s="4">
        <v>101.251</v>
      </c>
      <c r="J60" s="4">
        <v>96.580500000000001</v>
      </c>
      <c r="K60" s="4">
        <v>95.544499999999999</v>
      </c>
      <c r="L60" s="4">
        <v>95.061000000000007</v>
      </c>
      <c r="M60" s="4">
        <v>92.291499999999999</v>
      </c>
      <c r="N60" s="4">
        <v>86.983999999999995</v>
      </c>
    </row>
    <row r="61" spans="1:14" x14ac:dyDescent="0.35">
      <c r="A61" t="s">
        <v>65</v>
      </c>
      <c r="B61" t="s">
        <v>2</v>
      </c>
      <c r="C61" t="s">
        <v>1</v>
      </c>
      <c r="D61" s="4">
        <v>92.426699999999997</v>
      </c>
      <c r="E61" s="4">
        <v>95.388800000000003</v>
      </c>
      <c r="F61" s="4">
        <v>96.782300000000006</v>
      </c>
      <c r="G61" s="4">
        <v>100.664</v>
      </c>
      <c r="H61" s="4">
        <v>103.14400000000001</v>
      </c>
      <c r="I61" s="4">
        <v>103.703</v>
      </c>
      <c r="J61" s="4">
        <v>90.346100000000007</v>
      </c>
      <c r="K61" s="4">
        <v>85.378</v>
      </c>
      <c r="L61" s="4">
        <v>76.746099999999998</v>
      </c>
      <c r="M61" s="4">
        <v>75.617400000000004</v>
      </c>
      <c r="N61" s="4">
        <v>74.488699999999994</v>
      </c>
    </row>
    <row r="62" spans="1:14" x14ac:dyDescent="0.35">
      <c r="A62" t="s">
        <v>79</v>
      </c>
      <c r="B62" t="s">
        <v>2</v>
      </c>
      <c r="C62" t="s">
        <v>1</v>
      </c>
      <c r="D62" s="4">
        <v>69.630399999999995</v>
      </c>
      <c r="E62" s="4">
        <v>70.409099999999995</v>
      </c>
      <c r="F62" s="4">
        <v>72.191400000000002</v>
      </c>
      <c r="G62" s="4">
        <v>77.341300000000004</v>
      </c>
      <c r="H62" s="4">
        <v>80.901600000000002</v>
      </c>
      <c r="I62" s="4">
        <v>85.162999999999997</v>
      </c>
      <c r="J62" s="4">
        <v>69.555300000000003</v>
      </c>
      <c r="K62" s="4">
        <v>69.301500000000004</v>
      </c>
      <c r="L62" s="4">
        <v>67.781599999999997</v>
      </c>
      <c r="M62" s="4">
        <v>66.904399999999995</v>
      </c>
      <c r="N62" s="4">
        <v>64.941999999999993</v>
      </c>
    </row>
    <row r="63" spans="1:14" x14ac:dyDescent="0.35">
      <c r="A63" t="s">
        <v>71</v>
      </c>
      <c r="B63" t="s">
        <v>2</v>
      </c>
      <c r="C63" t="s">
        <v>1</v>
      </c>
      <c r="D63" s="4">
        <v>109.261</v>
      </c>
      <c r="E63" s="4">
        <v>110.431</v>
      </c>
      <c r="F63" s="4">
        <v>108.89</v>
      </c>
      <c r="G63" s="4">
        <v>110.28700000000001</v>
      </c>
      <c r="H63" s="4">
        <v>112.324</v>
      </c>
      <c r="I63" s="4">
        <v>110.77500000000001</v>
      </c>
      <c r="J63" s="4">
        <v>109.53100000000001</v>
      </c>
      <c r="K63" s="4">
        <v>109.864</v>
      </c>
      <c r="L63" s="4">
        <v>108.982</v>
      </c>
      <c r="M63" s="4">
        <v>109.509</v>
      </c>
      <c r="N63" s="4">
        <v>105.742</v>
      </c>
    </row>
    <row r="64" spans="1:14" x14ac:dyDescent="0.35">
      <c r="A64" t="s">
        <v>80</v>
      </c>
      <c r="B64" t="s">
        <v>2</v>
      </c>
      <c r="C64" t="s">
        <v>1</v>
      </c>
      <c r="D64" s="4">
        <v>66.075800000000001</v>
      </c>
      <c r="E64" s="4">
        <v>65.636799999999994</v>
      </c>
      <c r="F64" s="4">
        <v>64.880399999999995</v>
      </c>
      <c r="G64" s="4">
        <v>66.030900000000003</v>
      </c>
      <c r="H64" s="4">
        <v>65.670400000000001</v>
      </c>
      <c r="I64" s="4">
        <v>65.929100000000005</v>
      </c>
      <c r="J64" s="4">
        <v>64.752099999999999</v>
      </c>
      <c r="K64" s="4">
        <v>64.608400000000003</v>
      </c>
      <c r="L64" s="4">
        <v>63.679600000000001</v>
      </c>
      <c r="M64" s="4">
        <v>64.073300000000003</v>
      </c>
      <c r="N64" s="4">
        <v>61.881999999999998</v>
      </c>
    </row>
    <row r="65" spans="1:14" x14ac:dyDescent="0.35">
      <c r="A65" t="s">
        <v>66</v>
      </c>
      <c r="B65" t="s">
        <v>2</v>
      </c>
      <c r="C65" t="s">
        <v>1</v>
      </c>
      <c r="D65" s="4">
        <v>85.328199999999995</v>
      </c>
      <c r="E65" s="4">
        <v>101.97499999999999</v>
      </c>
      <c r="F65" s="4">
        <v>104.169</v>
      </c>
      <c r="G65" s="4">
        <v>108.631</v>
      </c>
      <c r="H65" s="4">
        <v>110.795</v>
      </c>
      <c r="I65" s="4">
        <v>110.575</v>
      </c>
      <c r="J65" s="4">
        <v>87.355500000000006</v>
      </c>
      <c r="K65" s="4">
        <v>82.450800000000001</v>
      </c>
      <c r="L65" s="4">
        <v>81.600200000000001</v>
      </c>
      <c r="M65" s="4">
        <v>81.899500000000003</v>
      </c>
      <c r="N65" s="4">
        <v>79.239400000000003</v>
      </c>
    </row>
    <row r="66" spans="1:14" x14ac:dyDescent="0.35">
      <c r="A66" t="s">
        <v>81</v>
      </c>
      <c r="B66" t="s">
        <v>2</v>
      </c>
      <c r="C66" t="s">
        <v>1</v>
      </c>
      <c r="D66" s="4">
        <v>121</v>
      </c>
      <c r="E66" s="4">
        <v>121.514</v>
      </c>
      <c r="F66" s="4">
        <v>121.66800000000001</v>
      </c>
      <c r="G66" s="4">
        <v>121.97499999999999</v>
      </c>
      <c r="H66" s="4">
        <v>121.387</v>
      </c>
      <c r="I66" s="4">
        <v>121.488</v>
      </c>
      <c r="J66" s="4">
        <v>121.235</v>
      </c>
      <c r="K66" s="4">
        <v>121.443</v>
      </c>
      <c r="L66" s="4">
        <v>121.06399999999999</v>
      </c>
      <c r="M66" s="4">
        <v>122.342</v>
      </c>
      <c r="N66" s="4">
        <v>121.45</v>
      </c>
    </row>
    <row r="67" spans="1:14" x14ac:dyDescent="0.35">
      <c r="A67" t="s">
        <v>67</v>
      </c>
      <c r="B67" t="s">
        <v>2</v>
      </c>
      <c r="C67" t="s">
        <v>1</v>
      </c>
      <c r="D67" s="4">
        <v>114.11199999999999</v>
      </c>
      <c r="E67" s="4">
        <v>111.599</v>
      </c>
      <c r="F67" s="4">
        <v>111.63800000000001</v>
      </c>
      <c r="G67" s="4">
        <v>112.765</v>
      </c>
      <c r="H67" s="4">
        <v>113.408</v>
      </c>
      <c r="I67" s="4">
        <v>112.90300000000001</v>
      </c>
      <c r="J67" s="4">
        <v>112.828</v>
      </c>
      <c r="K67" s="4">
        <v>117.714</v>
      </c>
      <c r="L67" s="4">
        <v>113.94</v>
      </c>
      <c r="M67" s="4">
        <v>108.86199999999999</v>
      </c>
      <c r="N67" s="4">
        <v>113.47499999999999</v>
      </c>
    </row>
    <row r="68" spans="1:14" x14ac:dyDescent="0.35">
      <c r="A68" t="s">
        <v>82</v>
      </c>
      <c r="B68" t="s">
        <v>2</v>
      </c>
      <c r="C68" t="s">
        <v>1</v>
      </c>
      <c r="D68" s="4">
        <v>67.825299999999999</v>
      </c>
      <c r="E68" s="4">
        <v>67.927000000000007</v>
      </c>
      <c r="F68" s="4">
        <v>68.477199999999996</v>
      </c>
      <c r="G68" s="4">
        <v>67.6374</v>
      </c>
      <c r="H68" s="4">
        <v>67.859899999999996</v>
      </c>
      <c r="I68" s="4">
        <v>68.1023</v>
      </c>
      <c r="J68" s="4">
        <v>67.137600000000006</v>
      </c>
      <c r="K68" s="4">
        <v>66.834699999999998</v>
      </c>
      <c r="L68" s="4">
        <v>65.687100000000001</v>
      </c>
      <c r="M68" s="4">
        <v>64.635800000000003</v>
      </c>
      <c r="N68" s="4">
        <v>64.321299999999994</v>
      </c>
    </row>
    <row r="69" spans="1:14" x14ac:dyDescent="0.35">
      <c r="A69" t="s">
        <v>68</v>
      </c>
      <c r="B69" t="s">
        <v>2</v>
      </c>
      <c r="C69" t="s">
        <v>1</v>
      </c>
      <c r="D69" s="4">
        <v>75.016099999999994</v>
      </c>
      <c r="E69" s="4">
        <v>77.584800000000001</v>
      </c>
      <c r="F69" s="4">
        <v>78.412800000000004</v>
      </c>
      <c r="G69" s="4">
        <v>79.505399999999995</v>
      </c>
      <c r="H69" s="4">
        <v>78.532200000000003</v>
      </c>
      <c r="I69" s="4">
        <v>78.083299999999994</v>
      </c>
      <c r="J69" s="4">
        <v>76.123199999999997</v>
      </c>
      <c r="K69" s="4">
        <v>76.987499999999997</v>
      </c>
      <c r="L69" s="4">
        <v>76.657600000000002</v>
      </c>
      <c r="M69" s="4">
        <v>76.345100000000002</v>
      </c>
      <c r="N69" s="4">
        <v>76.066900000000004</v>
      </c>
    </row>
    <row r="70" spans="1:14" x14ac:dyDescent="0.35">
      <c r="A70" t="s">
        <v>83</v>
      </c>
      <c r="B70" t="s">
        <v>2</v>
      </c>
      <c r="C70" t="s">
        <v>1</v>
      </c>
      <c r="D70" s="4">
        <v>34.582900000000002</v>
      </c>
      <c r="E70" s="4">
        <v>89.704800000000006</v>
      </c>
      <c r="F70" s="4">
        <v>78.405799999999999</v>
      </c>
      <c r="G70" s="4">
        <v>36.464100000000002</v>
      </c>
      <c r="H70" s="4">
        <v>76.545000000000002</v>
      </c>
      <c r="I70" s="4">
        <v>35.593000000000004</v>
      </c>
      <c r="J70" s="4">
        <v>49.311900000000001</v>
      </c>
      <c r="K70" s="4">
        <v>34.377400000000002</v>
      </c>
      <c r="L70" s="4">
        <v>40.757300000000001</v>
      </c>
      <c r="M70" s="4">
        <v>87.9953</v>
      </c>
      <c r="N70" s="4">
        <v>76.156400000000005</v>
      </c>
    </row>
    <row r="71" spans="1:14" x14ac:dyDescent="0.35">
      <c r="A71" t="s">
        <v>84</v>
      </c>
      <c r="B71" t="s">
        <v>2</v>
      </c>
      <c r="C71" t="s">
        <v>1</v>
      </c>
      <c r="D71" s="4">
        <v>115.251</v>
      </c>
      <c r="E71" s="4">
        <v>115.227</v>
      </c>
      <c r="F71" s="4">
        <v>115.34699999999999</v>
      </c>
      <c r="G71" s="4">
        <v>115.129</v>
      </c>
      <c r="H71" s="4">
        <v>115.458</v>
      </c>
      <c r="I71" s="4">
        <v>115.369</v>
      </c>
      <c r="J71" s="4">
        <v>115.34699999999999</v>
      </c>
      <c r="K71" s="4">
        <v>115.17</v>
      </c>
      <c r="L71" s="4">
        <v>115.246</v>
      </c>
      <c r="M71" s="4">
        <v>115.56100000000001</v>
      </c>
      <c r="N71" s="4">
        <v>76.249499999999998</v>
      </c>
    </row>
    <row r="72" spans="1:14" x14ac:dyDescent="0.35">
      <c r="A72" t="s">
        <v>85</v>
      </c>
      <c r="B72" t="s">
        <v>2</v>
      </c>
      <c r="C72" t="s">
        <v>1</v>
      </c>
      <c r="D72" s="4">
        <v>103.584</v>
      </c>
      <c r="E72" s="4">
        <v>104.123</v>
      </c>
      <c r="F72" s="4">
        <v>103.98</v>
      </c>
      <c r="G72" s="4">
        <v>105.598</v>
      </c>
      <c r="H72" s="4">
        <v>106.02500000000001</v>
      </c>
      <c r="I72" s="4">
        <v>106.312</v>
      </c>
      <c r="J72" s="4">
        <v>103.059</v>
      </c>
      <c r="K72" s="4">
        <v>102.59699999999999</v>
      </c>
      <c r="L72" s="4">
        <v>101.852</v>
      </c>
      <c r="M72" s="4">
        <v>100.82899999999999</v>
      </c>
      <c r="N72" s="4">
        <v>93.434899999999999</v>
      </c>
    </row>
    <row r="73" spans="1:14" x14ac:dyDescent="0.35">
      <c r="A73" t="s">
        <v>86</v>
      </c>
      <c r="B73" t="s">
        <v>2</v>
      </c>
      <c r="C73" t="s">
        <v>1</v>
      </c>
      <c r="D73" s="4">
        <v>121.62</v>
      </c>
      <c r="E73" s="4">
        <v>121.169</v>
      </c>
      <c r="F73" s="4">
        <v>120.104</v>
      </c>
      <c r="G73" s="4">
        <v>122.19799999999999</v>
      </c>
      <c r="H73" s="4">
        <v>122.46</v>
      </c>
      <c r="I73" s="4">
        <v>122.81399999999999</v>
      </c>
      <c r="J73" s="4">
        <v>120.32899999999999</v>
      </c>
      <c r="K73" s="4">
        <v>121.95</v>
      </c>
      <c r="L73" s="4">
        <v>119.59699999999999</v>
      </c>
      <c r="M73" s="4">
        <v>119.32</v>
      </c>
      <c r="N73" s="4">
        <v>119.627</v>
      </c>
    </row>
    <row r="74" spans="1:14" x14ac:dyDescent="0.35">
      <c r="A74" t="s">
        <v>87</v>
      </c>
      <c r="B74" t="s">
        <v>2</v>
      </c>
      <c r="C74" t="s">
        <v>1</v>
      </c>
      <c r="D74" s="4">
        <v>139.053</v>
      </c>
      <c r="E74" s="4">
        <v>139.09</v>
      </c>
      <c r="F74" s="4">
        <v>136.43199999999999</v>
      </c>
      <c r="G74" s="4">
        <v>136.35</v>
      </c>
      <c r="H74" s="4">
        <v>136.40600000000001</v>
      </c>
      <c r="I74" s="4">
        <v>136.577</v>
      </c>
      <c r="J74" s="4">
        <v>138.995</v>
      </c>
      <c r="K74" s="4">
        <v>138.78800000000001</v>
      </c>
      <c r="L74" s="4">
        <v>138.55600000000001</v>
      </c>
      <c r="M74" s="4">
        <v>138.33000000000001</v>
      </c>
      <c r="N74" s="4">
        <v>138.29300000000001</v>
      </c>
    </row>
    <row r="75" spans="1:14" x14ac:dyDescent="0.35">
      <c r="A75" t="s">
        <v>88</v>
      </c>
      <c r="B75" t="s">
        <v>2</v>
      </c>
      <c r="C75" t="s">
        <v>1</v>
      </c>
      <c r="D75" s="4">
        <v>129.80099999999999</v>
      </c>
      <c r="E75" s="4">
        <v>120.166</v>
      </c>
      <c r="F75" s="4">
        <v>112.33499999999999</v>
      </c>
      <c r="G75" s="4">
        <v>116.798</v>
      </c>
      <c r="H75" s="4">
        <v>122.181</v>
      </c>
      <c r="I75" s="4">
        <v>119.393</v>
      </c>
      <c r="J75" s="4">
        <v>119.15300000000001</v>
      </c>
      <c r="K75" s="4">
        <v>120.41</v>
      </c>
      <c r="L75" s="4">
        <v>118.384</v>
      </c>
      <c r="M75" s="4">
        <v>119.404</v>
      </c>
      <c r="N75" s="4">
        <v>118.51600000000001</v>
      </c>
    </row>
    <row r="76" spans="1:14" x14ac:dyDescent="0.35">
      <c r="A76" t="s">
        <v>89</v>
      </c>
      <c r="B76" t="s">
        <v>2</v>
      </c>
      <c r="C76" t="s">
        <v>1</v>
      </c>
      <c r="D76" s="4">
        <v>118.67</v>
      </c>
      <c r="E76" s="4">
        <v>112.215</v>
      </c>
      <c r="F76" s="4">
        <v>116.33</v>
      </c>
      <c r="G76" s="4">
        <v>114.04300000000001</v>
      </c>
      <c r="H76" s="4">
        <v>120.565</v>
      </c>
      <c r="I76" s="4">
        <v>116.938</v>
      </c>
      <c r="J76" s="4">
        <v>116.399</v>
      </c>
      <c r="K76" s="4">
        <v>119.629</v>
      </c>
      <c r="L76" s="4">
        <v>115.435</v>
      </c>
      <c r="M76" s="4">
        <v>114.59099999999999</v>
      </c>
      <c r="N76" s="4">
        <v>111.646</v>
      </c>
    </row>
    <row r="77" spans="1:14" x14ac:dyDescent="0.35">
      <c r="A77" t="s">
        <v>90</v>
      </c>
      <c r="B77" t="s">
        <v>2</v>
      </c>
      <c r="C77" t="s">
        <v>1</v>
      </c>
      <c r="D77" s="4">
        <v>77.553799999999995</v>
      </c>
      <c r="E77" s="4">
        <v>77.795000000000002</v>
      </c>
      <c r="F77" s="4">
        <v>78.235900000000001</v>
      </c>
      <c r="G77" s="4">
        <v>80.481899999999996</v>
      </c>
      <c r="H77" s="4">
        <v>81.743399999999994</v>
      </c>
      <c r="I77" s="4">
        <v>82.185599999999994</v>
      </c>
      <c r="J77" s="4">
        <v>77.318700000000007</v>
      </c>
      <c r="K77" s="4">
        <v>77.043700000000001</v>
      </c>
      <c r="L77" s="4">
        <v>76.324399999999997</v>
      </c>
      <c r="M77" s="4">
        <v>75.651300000000006</v>
      </c>
      <c r="N77" s="4">
        <v>74.681799999999996</v>
      </c>
    </row>
    <row r="78" spans="1:14" x14ac:dyDescent="0.35">
      <c r="A78" t="s">
        <v>91</v>
      </c>
      <c r="B78" t="s">
        <v>2</v>
      </c>
      <c r="C78" t="s">
        <v>1</v>
      </c>
      <c r="D78" s="4">
        <v>102.404</v>
      </c>
      <c r="E78" s="4">
        <v>102.61499999999999</v>
      </c>
      <c r="F78" s="4">
        <v>102.76</v>
      </c>
      <c r="G78" s="4">
        <v>103.482</v>
      </c>
      <c r="H78" s="4">
        <v>103.84</v>
      </c>
      <c r="I78" s="4">
        <v>103.90600000000001</v>
      </c>
      <c r="J78" s="4">
        <v>102.05200000000001</v>
      </c>
      <c r="K78" s="4">
        <v>101.786</v>
      </c>
      <c r="L78" s="4">
        <v>100.761</v>
      </c>
      <c r="M78" s="4">
        <v>99.041600000000003</v>
      </c>
      <c r="N78" s="4">
        <v>96.738299999999995</v>
      </c>
    </row>
    <row r="79" spans="1:14" x14ac:dyDescent="0.35">
      <c r="A79" t="s">
        <v>92</v>
      </c>
      <c r="B79" t="s">
        <v>2</v>
      </c>
      <c r="C79" t="s">
        <v>1</v>
      </c>
      <c r="D79" s="4">
        <v>120.526</v>
      </c>
      <c r="E79" s="4">
        <v>121.209</v>
      </c>
      <c r="F79" s="4">
        <v>121.515</v>
      </c>
      <c r="G79" s="4">
        <v>121.831</v>
      </c>
      <c r="H79" s="4">
        <v>122.155</v>
      </c>
      <c r="I79" s="4">
        <v>122.84</v>
      </c>
      <c r="J79" s="4">
        <v>120.26900000000001</v>
      </c>
      <c r="K79" s="4">
        <v>117.054</v>
      </c>
      <c r="L79" s="4">
        <v>111.206</v>
      </c>
      <c r="M79" s="4">
        <v>105.25</v>
      </c>
      <c r="N79" s="4">
        <v>100.65300000000001</v>
      </c>
    </row>
    <row r="80" spans="1:14" x14ac:dyDescent="0.35">
      <c r="A80" t="s">
        <v>93</v>
      </c>
      <c r="B80" t="s">
        <v>2</v>
      </c>
      <c r="C80" t="s">
        <v>1</v>
      </c>
      <c r="D80" s="4">
        <v>103.712</v>
      </c>
      <c r="E80" s="4">
        <v>103.65300000000001</v>
      </c>
      <c r="F80" s="4">
        <v>103.819</v>
      </c>
      <c r="G80" s="4">
        <v>104.352</v>
      </c>
      <c r="H80" s="4">
        <v>104.251</v>
      </c>
      <c r="I80" s="4">
        <v>104.455</v>
      </c>
      <c r="J80" s="4">
        <v>113.15</v>
      </c>
      <c r="K80" s="4">
        <v>112.768</v>
      </c>
      <c r="L80" s="4">
        <v>139.11500000000001</v>
      </c>
      <c r="M80" s="4">
        <v>73.884900000000002</v>
      </c>
      <c r="N80" s="4">
        <v>64.720399999999998</v>
      </c>
    </row>
    <row r="81" spans="1:14" x14ac:dyDescent="0.35">
      <c r="A81" t="s">
        <v>94</v>
      </c>
      <c r="B81" t="s">
        <v>2</v>
      </c>
      <c r="C81" t="s">
        <v>1</v>
      </c>
      <c r="D81" s="4">
        <v>133.17400000000001</v>
      </c>
      <c r="E81" s="4">
        <v>133.32900000000001</v>
      </c>
      <c r="F81" s="4">
        <v>133.36600000000001</v>
      </c>
      <c r="G81" s="4">
        <v>133.59899999999999</v>
      </c>
      <c r="H81" s="4">
        <v>133.845</v>
      </c>
      <c r="I81" s="4">
        <v>133.84299999999999</v>
      </c>
      <c r="J81" s="4">
        <v>133.19200000000001</v>
      </c>
      <c r="K81" s="4">
        <v>132.524</v>
      </c>
      <c r="L81" s="4">
        <v>132.75</v>
      </c>
      <c r="M81" s="4">
        <v>133.19300000000001</v>
      </c>
      <c r="N81" s="4">
        <v>133.20500000000001</v>
      </c>
    </row>
    <row r="82" spans="1:14" x14ac:dyDescent="0.35">
      <c r="A82" t="s">
        <v>95</v>
      </c>
      <c r="B82" t="s">
        <v>2</v>
      </c>
      <c r="C82" t="s">
        <v>1</v>
      </c>
      <c r="D82" s="4">
        <v>112.38800000000001</v>
      </c>
      <c r="E82" s="4">
        <v>113.035</v>
      </c>
      <c r="F82" s="4">
        <v>113.523</v>
      </c>
      <c r="G82" s="4">
        <v>113.78700000000001</v>
      </c>
      <c r="H82" s="4">
        <v>113.732</v>
      </c>
      <c r="I82" s="4">
        <v>113.96599999999999</v>
      </c>
      <c r="J82" s="4">
        <v>112.363</v>
      </c>
      <c r="K82" s="4">
        <v>112.119</v>
      </c>
      <c r="L82" s="4">
        <v>110.40300000000001</v>
      </c>
      <c r="M82" s="4">
        <v>107.053</v>
      </c>
      <c r="N82" s="4">
        <v>105.816</v>
      </c>
    </row>
    <row r="83" spans="1:14" x14ac:dyDescent="0.35">
      <c r="A83" t="s">
        <v>96</v>
      </c>
      <c r="B83" t="s">
        <v>2</v>
      </c>
      <c r="C83" t="s">
        <v>1</v>
      </c>
      <c r="D83" s="4">
        <v>125.346</v>
      </c>
      <c r="E83" s="4">
        <v>125.02800000000001</v>
      </c>
      <c r="F83" s="4">
        <v>125.15600000000001</v>
      </c>
      <c r="G83" s="4">
        <v>124.64</v>
      </c>
      <c r="H83" s="4">
        <v>124.92</v>
      </c>
      <c r="I83" s="4">
        <v>124.31100000000001</v>
      </c>
      <c r="J83" s="4">
        <v>124.95699999999999</v>
      </c>
      <c r="K83" s="4">
        <v>125.169</v>
      </c>
      <c r="L83" s="4">
        <v>125.30200000000001</v>
      </c>
      <c r="M83" s="4">
        <v>125.218</v>
      </c>
      <c r="N83" s="4">
        <v>124.80800000000001</v>
      </c>
    </row>
    <row r="84" spans="1:14" x14ac:dyDescent="0.35">
      <c r="A84" t="s">
        <v>97</v>
      </c>
      <c r="B84" t="s">
        <v>2</v>
      </c>
      <c r="C84" t="s">
        <v>1</v>
      </c>
      <c r="D84" s="4">
        <v>86.627399999999994</v>
      </c>
      <c r="E84" s="4">
        <v>86.705600000000004</v>
      </c>
      <c r="F84" s="4">
        <v>86.484099999999998</v>
      </c>
      <c r="G84" s="4">
        <v>86.724800000000002</v>
      </c>
      <c r="H84" s="4">
        <v>86.590299999999999</v>
      </c>
      <c r="I84" s="4">
        <v>86.904899999999998</v>
      </c>
      <c r="J84" s="4">
        <v>86.580200000000005</v>
      </c>
      <c r="K84" s="4">
        <v>86.481899999999996</v>
      </c>
      <c r="L84" s="4">
        <v>86.156999999999996</v>
      </c>
      <c r="M84" s="4">
        <v>80.957400000000007</v>
      </c>
      <c r="N84" s="4">
        <v>79.88</v>
      </c>
    </row>
    <row r="85" spans="1:14" x14ac:dyDescent="0.35">
      <c r="A85" t="s">
        <v>98</v>
      </c>
      <c r="B85" t="s">
        <v>2</v>
      </c>
      <c r="C85" t="s">
        <v>1</v>
      </c>
      <c r="D85" s="4">
        <v>98.127300000000005</v>
      </c>
      <c r="E85" s="4">
        <v>98.971299999999999</v>
      </c>
      <c r="F85" s="4">
        <v>99.730999999999995</v>
      </c>
      <c r="G85" s="4">
        <v>100.61499999999999</v>
      </c>
      <c r="H85" s="4">
        <v>101.887</v>
      </c>
      <c r="I85" s="4">
        <v>104.057</v>
      </c>
      <c r="J85" s="4">
        <v>97.528800000000004</v>
      </c>
      <c r="K85" s="4">
        <v>96.942899999999995</v>
      </c>
      <c r="L85" s="4">
        <v>95.812799999999996</v>
      </c>
      <c r="M85" s="4">
        <v>95.984800000000007</v>
      </c>
      <c r="N85" s="4">
        <v>71.170100000000005</v>
      </c>
    </row>
    <row r="86" spans="1:14" x14ac:dyDescent="0.35">
      <c r="A86" t="s">
        <v>99</v>
      </c>
      <c r="B86" t="s">
        <v>2</v>
      </c>
      <c r="C86" t="s">
        <v>1</v>
      </c>
      <c r="D86" s="4">
        <v>64.752799999999993</v>
      </c>
      <c r="E86" s="4">
        <v>65.535899999999998</v>
      </c>
      <c r="F86" s="4">
        <v>63.820399999999999</v>
      </c>
      <c r="G86" s="4">
        <v>64.192700000000002</v>
      </c>
      <c r="H86" s="4">
        <v>67.815299999999993</v>
      </c>
      <c r="I86" s="4">
        <v>70.744</v>
      </c>
      <c r="J86" s="4">
        <v>64.983099999999993</v>
      </c>
      <c r="K86" s="4">
        <v>64.276399999999995</v>
      </c>
      <c r="L86" s="4">
        <v>68.467299999999994</v>
      </c>
      <c r="M86" s="4">
        <v>67.922600000000003</v>
      </c>
      <c r="N86" s="4">
        <v>62.6083</v>
      </c>
    </row>
    <row r="87" spans="1:14" x14ac:dyDescent="0.35">
      <c r="A87" t="s">
        <v>100</v>
      </c>
      <c r="B87" t="s">
        <v>2</v>
      </c>
      <c r="C87" t="s">
        <v>1</v>
      </c>
      <c r="D87" s="4">
        <v>107.877</v>
      </c>
      <c r="E87" s="4">
        <v>107.93600000000001</v>
      </c>
      <c r="F87" s="4">
        <v>108.06699999999999</v>
      </c>
      <c r="G87" s="4">
        <v>108.681</v>
      </c>
      <c r="H87" s="4">
        <v>108.458</v>
      </c>
      <c r="I87" s="4">
        <v>108.788</v>
      </c>
      <c r="J87" s="4">
        <v>107.595</v>
      </c>
      <c r="K87" s="4">
        <v>107.146</v>
      </c>
      <c r="L87" s="4">
        <v>106.19499999999999</v>
      </c>
      <c r="M87" s="4">
        <v>104.053</v>
      </c>
      <c r="N87" s="4">
        <v>88.314700000000002</v>
      </c>
    </row>
    <row r="88" spans="1:14" x14ac:dyDescent="0.35">
      <c r="A88" t="s">
        <v>101</v>
      </c>
      <c r="B88" t="s">
        <v>2</v>
      </c>
      <c r="C88" t="s">
        <v>1</v>
      </c>
      <c r="D88" s="4">
        <v>116.092</v>
      </c>
      <c r="E88" s="4">
        <v>116.145</v>
      </c>
      <c r="F88" s="4">
        <v>115.986</v>
      </c>
      <c r="G88" s="4">
        <v>116.875</v>
      </c>
      <c r="H88" s="4">
        <v>116.633</v>
      </c>
      <c r="I88" s="4">
        <v>116.295</v>
      </c>
      <c r="J88" s="4">
        <v>115.53</v>
      </c>
      <c r="K88" s="4">
        <v>115.68</v>
      </c>
      <c r="L88" s="4">
        <v>115.011</v>
      </c>
      <c r="M88" s="4">
        <v>113.89100000000001</v>
      </c>
      <c r="N88" s="4">
        <v>113.256</v>
      </c>
    </row>
    <row r="89" spans="1:14" x14ac:dyDescent="0.35">
      <c r="A89" t="s">
        <v>102</v>
      </c>
      <c r="B89" t="s">
        <v>2</v>
      </c>
      <c r="C89" t="s">
        <v>1</v>
      </c>
      <c r="D89" s="4">
        <v>121.724</v>
      </c>
      <c r="E89" s="4">
        <v>125.804</v>
      </c>
      <c r="F89" s="4">
        <v>122.94</v>
      </c>
      <c r="G89" s="4">
        <v>123.032</v>
      </c>
      <c r="H89" s="4">
        <v>123.402</v>
      </c>
      <c r="I89" s="4">
        <v>124.27800000000001</v>
      </c>
      <c r="J89" s="4">
        <v>125.289</v>
      </c>
      <c r="K89" s="4">
        <v>121.152</v>
      </c>
      <c r="L89" s="4">
        <v>120.953</v>
      </c>
      <c r="M89" s="4">
        <v>121.134</v>
      </c>
      <c r="N89" s="4">
        <v>119.83</v>
      </c>
    </row>
    <row r="90" spans="1:14" x14ac:dyDescent="0.35">
      <c r="A90" t="s">
        <v>103</v>
      </c>
      <c r="B90" t="s">
        <v>2</v>
      </c>
      <c r="C90" t="s">
        <v>1</v>
      </c>
      <c r="D90" s="4">
        <v>103.089</v>
      </c>
      <c r="E90" s="4">
        <v>105.503</v>
      </c>
      <c r="F90" s="4">
        <v>104.292</v>
      </c>
      <c r="G90" s="4">
        <v>104.80500000000001</v>
      </c>
      <c r="H90" s="4">
        <v>104.449</v>
      </c>
      <c r="I90" s="4">
        <v>104.803</v>
      </c>
      <c r="J90" s="4">
        <v>103.65</v>
      </c>
      <c r="K90" s="4">
        <v>103.413</v>
      </c>
      <c r="L90" s="4">
        <v>100.47199999999999</v>
      </c>
      <c r="M90" s="4">
        <v>97.054599999999994</v>
      </c>
      <c r="N90" s="4">
        <v>94.313999999999993</v>
      </c>
    </row>
    <row r="91" spans="1:14" x14ac:dyDescent="0.35">
      <c r="A91" t="s">
        <v>104</v>
      </c>
      <c r="B91" t="s">
        <v>2</v>
      </c>
      <c r="C91" t="s">
        <v>1</v>
      </c>
      <c r="D91" s="4">
        <v>123.514</v>
      </c>
      <c r="E91" s="4">
        <v>123.97199999999999</v>
      </c>
      <c r="F91" s="4">
        <v>123.395</v>
      </c>
      <c r="G91" s="4">
        <v>124.91800000000001</v>
      </c>
      <c r="H91" s="4">
        <v>125.947</v>
      </c>
      <c r="I91" s="4">
        <v>126.953</v>
      </c>
      <c r="J91" s="4">
        <v>123.22499999999999</v>
      </c>
      <c r="K91" s="4">
        <v>122.982</v>
      </c>
      <c r="L91" s="4">
        <v>122.7</v>
      </c>
      <c r="M91" s="4">
        <v>122.039</v>
      </c>
      <c r="N91" s="4">
        <v>121.294</v>
      </c>
    </row>
    <row r="92" spans="1:14" x14ac:dyDescent="0.35">
      <c r="A92" t="s">
        <v>105</v>
      </c>
      <c r="B92" t="s">
        <v>2</v>
      </c>
      <c r="C92" t="s">
        <v>1</v>
      </c>
      <c r="D92" s="4">
        <v>143.25</v>
      </c>
      <c r="E92" s="4">
        <v>143.79300000000001</v>
      </c>
      <c r="F92" s="4">
        <v>144.68600000000001</v>
      </c>
      <c r="G92" s="4">
        <v>143.65899999999999</v>
      </c>
      <c r="H92" s="4">
        <v>144.41499999999999</v>
      </c>
      <c r="I92" s="4">
        <v>144.40799999999999</v>
      </c>
      <c r="J92" s="4">
        <v>143.773</v>
      </c>
      <c r="K92" s="4">
        <v>145.934</v>
      </c>
      <c r="L92" s="4">
        <v>143.19399999999999</v>
      </c>
      <c r="M92" s="4">
        <v>140.691</v>
      </c>
      <c r="N92" s="4">
        <v>141.005</v>
      </c>
    </row>
    <row r="93" spans="1:14" x14ac:dyDescent="0.35">
      <c r="A93" t="s">
        <v>106</v>
      </c>
      <c r="B93" t="s">
        <v>2</v>
      </c>
      <c r="C93" t="s">
        <v>1</v>
      </c>
      <c r="D93" s="4">
        <v>139.154</v>
      </c>
      <c r="E93" s="4">
        <v>138.352</v>
      </c>
      <c r="F93" s="4">
        <v>139.05000000000001</v>
      </c>
      <c r="G93" s="4">
        <v>139.036</v>
      </c>
      <c r="H93" s="4">
        <v>138.68100000000001</v>
      </c>
      <c r="I93" s="4">
        <v>139.84200000000001</v>
      </c>
      <c r="J93" s="4">
        <v>138.27500000000001</v>
      </c>
      <c r="K93" s="4">
        <v>139.55500000000001</v>
      </c>
      <c r="L93" s="4">
        <v>137.69800000000001</v>
      </c>
      <c r="M93" s="4">
        <v>110.79</v>
      </c>
      <c r="N93" s="4">
        <v>107.089</v>
      </c>
    </row>
    <row r="94" spans="1:14" x14ac:dyDescent="0.35">
      <c r="A94" t="s">
        <v>107</v>
      </c>
      <c r="B94" t="s">
        <v>2</v>
      </c>
      <c r="C94" t="s">
        <v>1</v>
      </c>
      <c r="D94" s="4">
        <v>87.183199999999999</v>
      </c>
      <c r="E94" s="4">
        <v>86.035600000000002</v>
      </c>
      <c r="F94" s="4">
        <v>88.455299999999994</v>
      </c>
      <c r="G94" s="4">
        <v>89.770499999999998</v>
      </c>
      <c r="H94" s="4">
        <v>92.927000000000007</v>
      </c>
      <c r="I94" s="4">
        <v>91.683700000000002</v>
      </c>
      <c r="J94" s="4">
        <v>92.324100000000001</v>
      </c>
      <c r="K94" s="4">
        <v>90.033799999999999</v>
      </c>
      <c r="L94" s="4">
        <v>89.675399999999996</v>
      </c>
      <c r="M94" s="4">
        <v>87.615300000000005</v>
      </c>
      <c r="N94" s="4">
        <v>101.941</v>
      </c>
    </row>
    <row r="95" spans="1:14" x14ac:dyDescent="0.35">
      <c r="A95" t="s">
        <v>108</v>
      </c>
      <c r="B95" t="s">
        <v>2</v>
      </c>
      <c r="C95" t="s">
        <v>1</v>
      </c>
      <c r="D95" s="4">
        <v>102.678</v>
      </c>
      <c r="E95" s="4">
        <v>102.82299999999999</v>
      </c>
      <c r="F95" s="4">
        <v>102.64</v>
      </c>
      <c r="G95" s="4">
        <v>103.075</v>
      </c>
      <c r="H95" s="4">
        <v>103.331</v>
      </c>
      <c r="I95" s="4">
        <v>103.923</v>
      </c>
      <c r="J95" s="4">
        <v>101.619</v>
      </c>
      <c r="K95" s="4">
        <v>102.581</v>
      </c>
      <c r="L95" s="4">
        <v>102.44199999999999</v>
      </c>
      <c r="M95" s="4">
        <v>100.309</v>
      </c>
      <c r="N95" s="4">
        <v>93.532200000000003</v>
      </c>
    </row>
    <row r="96" spans="1:14" x14ac:dyDescent="0.35">
      <c r="A96" t="s">
        <v>109</v>
      </c>
      <c r="B96" t="s">
        <v>2</v>
      </c>
      <c r="C96" t="s">
        <v>1</v>
      </c>
      <c r="D96" s="4">
        <v>163.47499999999999</v>
      </c>
      <c r="E96" s="4">
        <v>163.56800000000001</v>
      </c>
      <c r="F96" s="4">
        <v>163.471</v>
      </c>
      <c r="G96" s="4">
        <v>163.809</v>
      </c>
      <c r="H96" s="4">
        <v>164.274</v>
      </c>
      <c r="I96" s="4">
        <v>164.08799999999999</v>
      </c>
      <c r="J96" s="4">
        <v>163.38</v>
      </c>
      <c r="K96" s="4">
        <v>163.453</v>
      </c>
      <c r="L96" s="4">
        <v>163.29</v>
      </c>
      <c r="M96" s="4">
        <v>114.37</v>
      </c>
      <c r="N96" s="4">
        <v>114.47199999999999</v>
      </c>
    </row>
    <row r="97" spans="1:14" x14ac:dyDescent="0.35">
      <c r="A97" t="s">
        <v>110</v>
      </c>
      <c r="B97" t="s">
        <v>2</v>
      </c>
      <c r="C97" t="s">
        <v>1</v>
      </c>
      <c r="D97" s="4">
        <v>109.13500000000001</v>
      </c>
      <c r="E97" s="4">
        <v>109.992</v>
      </c>
      <c r="F97" s="4">
        <v>110.268</v>
      </c>
      <c r="G97" s="4">
        <v>110.64</v>
      </c>
      <c r="H97" s="4">
        <v>111.10599999999999</v>
      </c>
      <c r="I97" s="4">
        <v>111.44</v>
      </c>
      <c r="J97" s="4">
        <v>107.504</v>
      </c>
      <c r="K97" s="4">
        <v>106.384</v>
      </c>
      <c r="L97" s="4">
        <v>105.355</v>
      </c>
      <c r="M97" s="4">
        <v>102.175</v>
      </c>
      <c r="N97" s="4">
        <v>99.417900000000003</v>
      </c>
    </row>
    <row r="98" spans="1:14" x14ac:dyDescent="0.35">
      <c r="A98" t="s">
        <v>111</v>
      </c>
      <c r="B98" t="s">
        <v>2</v>
      </c>
      <c r="C98" t="s">
        <v>1</v>
      </c>
      <c r="D98" s="4">
        <v>135.54900000000001</v>
      </c>
      <c r="E98" s="4">
        <v>135.696</v>
      </c>
      <c r="F98" s="4">
        <v>135.83600000000001</v>
      </c>
      <c r="G98" s="4">
        <v>136.06800000000001</v>
      </c>
      <c r="H98" s="4">
        <v>136.35599999999999</v>
      </c>
      <c r="I98" s="4">
        <v>136.34</v>
      </c>
      <c r="J98" s="4">
        <v>135.56299999999999</v>
      </c>
      <c r="K98" s="4">
        <v>135.33600000000001</v>
      </c>
      <c r="L98" s="4">
        <v>105.30800000000001</v>
      </c>
      <c r="M98" s="4">
        <v>97.986999999999995</v>
      </c>
      <c r="N98" s="4">
        <v>98.586799999999997</v>
      </c>
    </row>
    <row r="99" spans="1:14" x14ac:dyDescent="0.35">
      <c r="A99" t="s">
        <v>112</v>
      </c>
      <c r="B99" t="s">
        <v>2</v>
      </c>
      <c r="C99" t="s">
        <v>1</v>
      </c>
      <c r="D99" s="4">
        <v>92.523499999999999</v>
      </c>
      <c r="E99" s="4">
        <v>93.169399999999996</v>
      </c>
      <c r="F99" s="4">
        <v>93.599900000000005</v>
      </c>
      <c r="G99" s="4">
        <v>95.533900000000003</v>
      </c>
      <c r="H99" s="4">
        <v>96.953400000000002</v>
      </c>
      <c r="I99" s="4">
        <v>97.872399999999999</v>
      </c>
      <c r="J99" s="4">
        <v>92.130099999999999</v>
      </c>
      <c r="K99" s="4">
        <v>91.977699999999999</v>
      </c>
      <c r="L99" s="4">
        <v>91.057599999999994</v>
      </c>
      <c r="M99" s="4">
        <v>89.912099999999995</v>
      </c>
      <c r="N99" s="4">
        <v>87.859300000000005</v>
      </c>
    </row>
    <row r="100" spans="1:14" x14ac:dyDescent="0.35">
      <c r="A100" t="s">
        <v>113</v>
      </c>
      <c r="B100" t="s">
        <v>2</v>
      </c>
      <c r="C100" t="s">
        <v>1</v>
      </c>
      <c r="D100" s="4">
        <v>80.229299999999995</v>
      </c>
      <c r="E100" s="4">
        <v>80.858800000000002</v>
      </c>
      <c r="F100" s="4">
        <v>79.737700000000004</v>
      </c>
      <c r="G100" s="4">
        <v>80.052700000000002</v>
      </c>
      <c r="H100" s="4">
        <v>80.396299999999997</v>
      </c>
      <c r="I100" s="4">
        <v>82.041499999999999</v>
      </c>
      <c r="J100" s="4">
        <v>78.355800000000002</v>
      </c>
      <c r="K100" s="4">
        <v>79.415000000000006</v>
      </c>
      <c r="L100" s="4">
        <v>78.722899999999996</v>
      </c>
      <c r="M100" s="4">
        <v>77.4221</v>
      </c>
      <c r="N100" s="4">
        <v>77.058899999999994</v>
      </c>
    </row>
    <row r="101" spans="1:14" x14ac:dyDescent="0.35">
      <c r="A101" t="s">
        <v>114</v>
      </c>
      <c r="B101" t="s">
        <v>2</v>
      </c>
      <c r="C101" t="s">
        <v>1</v>
      </c>
      <c r="D101" s="4">
        <v>115.44799999999999</v>
      </c>
      <c r="E101" s="4">
        <v>115.35</v>
      </c>
      <c r="F101" s="4">
        <v>115.67400000000001</v>
      </c>
      <c r="G101" s="4">
        <v>115.762</v>
      </c>
      <c r="H101" s="4">
        <v>116.182</v>
      </c>
      <c r="I101" s="4">
        <v>116.18899999999999</v>
      </c>
      <c r="J101" s="4">
        <v>115.57</v>
      </c>
      <c r="K101" s="4">
        <v>115.312</v>
      </c>
      <c r="L101" s="4">
        <v>114.729</v>
      </c>
      <c r="M101" s="4">
        <v>108.801</v>
      </c>
      <c r="N101" s="4">
        <v>106.467</v>
      </c>
    </row>
    <row r="102" spans="1:14" x14ac:dyDescent="0.35">
      <c r="A102" t="s">
        <v>115</v>
      </c>
      <c r="B102" t="s">
        <v>2</v>
      </c>
      <c r="C102" t="s">
        <v>1</v>
      </c>
      <c r="D102" s="4">
        <v>99.353099999999998</v>
      </c>
      <c r="E102" s="4">
        <v>99.890699999999995</v>
      </c>
      <c r="F102" s="4">
        <v>100.03400000000001</v>
      </c>
      <c r="G102" s="4">
        <v>100.67100000000001</v>
      </c>
      <c r="H102" s="4">
        <v>100.94799999999999</v>
      </c>
      <c r="I102" s="4">
        <v>101.962</v>
      </c>
      <c r="J102" s="4">
        <v>98.694999999999993</v>
      </c>
      <c r="K102" s="4">
        <v>90.939700000000002</v>
      </c>
      <c r="L102" s="4">
        <v>63.995899999999999</v>
      </c>
      <c r="M102" s="4">
        <v>57.656300000000002</v>
      </c>
      <c r="N102" s="4">
        <v>60.877499999999998</v>
      </c>
    </row>
    <row r="103" spans="1:14" x14ac:dyDescent="0.35">
      <c r="A103" t="s">
        <v>116</v>
      </c>
      <c r="B103" t="s">
        <v>2</v>
      </c>
      <c r="C103" t="s">
        <v>1</v>
      </c>
      <c r="D103" s="4">
        <v>109.235</v>
      </c>
      <c r="E103" s="4">
        <v>110.456</v>
      </c>
      <c r="F103" s="4">
        <v>111.864</v>
      </c>
      <c r="G103" s="4">
        <v>114.48399999999999</v>
      </c>
      <c r="H103" s="4">
        <v>115.46</v>
      </c>
      <c r="I103" s="4">
        <v>114.66500000000001</v>
      </c>
      <c r="J103" s="4">
        <v>107.833</v>
      </c>
      <c r="K103" s="4">
        <v>106.07599999999999</v>
      </c>
      <c r="L103" s="4">
        <v>104.175</v>
      </c>
      <c r="M103" s="4">
        <v>99.884399999999999</v>
      </c>
      <c r="N103" s="4">
        <v>97.030799999999999</v>
      </c>
    </row>
    <row r="104" spans="1:14" x14ac:dyDescent="0.35">
      <c r="A104" t="s">
        <v>117</v>
      </c>
      <c r="B104" t="s">
        <v>2</v>
      </c>
      <c r="C104" t="s">
        <v>1</v>
      </c>
      <c r="D104" s="4">
        <v>116.435</v>
      </c>
      <c r="E104" s="4">
        <v>117.02800000000001</v>
      </c>
      <c r="F104" s="4">
        <v>116.779</v>
      </c>
      <c r="G104" s="4">
        <v>116.851</v>
      </c>
      <c r="H104" s="4">
        <v>118.812</v>
      </c>
      <c r="I104" s="4">
        <v>117.34399999999999</v>
      </c>
      <c r="J104" s="4">
        <v>115.92700000000001</v>
      </c>
      <c r="K104" s="4">
        <v>115.96299999999999</v>
      </c>
      <c r="L104" s="4">
        <v>116.059</v>
      </c>
      <c r="M104" s="4">
        <v>114.901</v>
      </c>
      <c r="N104" s="4">
        <v>114.861</v>
      </c>
    </row>
    <row r="105" spans="1:14" x14ac:dyDescent="0.35">
      <c r="A105" t="s">
        <v>118</v>
      </c>
      <c r="B105" t="s">
        <v>2</v>
      </c>
      <c r="C105" t="s">
        <v>1</v>
      </c>
      <c r="D105" s="4">
        <v>152.964</v>
      </c>
      <c r="E105" s="4">
        <v>154.553</v>
      </c>
      <c r="F105" s="4">
        <v>156.011</v>
      </c>
      <c r="G105" s="4">
        <v>157.75399999999999</v>
      </c>
      <c r="H105" s="4">
        <v>174.577</v>
      </c>
      <c r="I105" s="4">
        <v>163.96199999999999</v>
      </c>
      <c r="J105" s="4">
        <v>144.26499999999999</v>
      </c>
      <c r="K105" s="4">
        <v>151.96700000000001</v>
      </c>
      <c r="L105" s="4">
        <v>183.358</v>
      </c>
      <c r="M105" s="4">
        <v>187.37100000000001</v>
      </c>
      <c r="N105" s="4">
        <v>150.98699999999999</v>
      </c>
    </row>
    <row r="106" spans="1:14" x14ac:dyDescent="0.35">
      <c r="A106" t="s">
        <v>119</v>
      </c>
      <c r="B106" t="s">
        <v>2</v>
      </c>
      <c r="C106" t="s">
        <v>1</v>
      </c>
      <c r="D106" s="4">
        <v>108.324</v>
      </c>
      <c r="E106" s="4">
        <v>108.509</v>
      </c>
      <c r="F106" s="4">
        <v>108.614</v>
      </c>
      <c r="G106" s="4">
        <v>109.279</v>
      </c>
      <c r="H106" s="4">
        <v>109.791</v>
      </c>
      <c r="I106" s="4">
        <v>109.65300000000001</v>
      </c>
      <c r="J106" s="4">
        <v>108.295</v>
      </c>
      <c r="K106" s="4">
        <v>101.575</v>
      </c>
      <c r="L106" s="4">
        <v>95.112799999999993</v>
      </c>
      <c r="M106" s="4">
        <v>88.444999999999993</v>
      </c>
      <c r="N106" s="4">
        <v>84.833399999999997</v>
      </c>
    </row>
    <row r="107" spans="1:14" x14ac:dyDescent="0.35">
      <c r="A107" t="s">
        <v>120</v>
      </c>
      <c r="B107" t="s">
        <v>2</v>
      </c>
      <c r="C107" t="s">
        <v>1</v>
      </c>
      <c r="D107" s="4">
        <v>65.249700000000004</v>
      </c>
      <c r="E107" s="4">
        <v>66.231099999999998</v>
      </c>
      <c r="F107" s="4">
        <v>65.637699999999995</v>
      </c>
      <c r="G107" s="4">
        <v>64.552599999999998</v>
      </c>
      <c r="H107" s="4">
        <v>68.158900000000003</v>
      </c>
      <c r="I107" s="4">
        <v>70.764899999999997</v>
      </c>
      <c r="J107" s="4">
        <v>64.668400000000005</v>
      </c>
      <c r="K107" s="4">
        <v>64.734499999999997</v>
      </c>
      <c r="L107" s="4">
        <v>64.132999999999996</v>
      </c>
      <c r="M107" s="4">
        <v>67.517399999999995</v>
      </c>
      <c r="N107" s="4">
        <v>64.951700000000002</v>
      </c>
    </row>
    <row r="108" spans="1:14" x14ac:dyDescent="0.35">
      <c r="A108" t="s">
        <v>121</v>
      </c>
      <c r="B108" t="s">
        <v>2</v>
      </c>
      <c r="C108" t="s">
        <v>1</v>
      </c>
      <c r="D108" s="4">
        <v>195.38499999999999</v>
      </c>
      <c r="E108" s="4">
        <v>182.29900000000001</v>
      </c>
      <c r="F108" s="4">
        <v>151.55199999999999</v>
      </c>
      <c r="G108" s="4">
        <v>128.14099999999999</v>
      </c>
      <c r="H108" s="4">
        <v>123.70099999999999</v>
      </c>
      <c r="I108" s="4">
        <v>175.904</v>
      </c>
      <c r="J108" s="4">
        <v>158.53200000000001</v>
      </c>
      <c r="K108" s="4">
        <v>193.57599999999999</v>
      </c>
      <c r="L108" s="4">
        <v>172.19300000000001</v>
      </c>
      <c r="M108" s="4">
        <v>137.86799999999999</v>
      </c>
      <c r="N108" s="4">
        <v>155.893</v>
      </c>
    </row>
    <row r="109" spans="1:14" x14ac:dyDescent="0.35">
      <c r="A109" t="s">
        <v>122</v>
      </c>
      <c r="B109" t="s">
        <v>2</v>
      </c>
      <c r="C109" t="s">
        <v>1</v>
      </c>
      <c r="D109" s="4">
        <v>129.62700000000001</v>
      </c>
      <c r="E109" s="4">
        <v>130.31100000000001</v>
      </c>
      <c r="F109" s="4">
        <v>129.119</v>
      </c>
      <c r="G109" s="4">
        <v>130.911</v>
      </c>
      <c r="H109" s="4">
        <v>130.22</v>
      </c>
      <c r="I109" s="4">
        <v>131.37100000000001</v>
      </c>
      <c r="J109" s="4">
        <v>129.98099999999999</v>
      </c>
      <c r="K109" s="4">
        <v>129.24199999999999</v>
      </c>
      <c r="L109" s="4">
        <v>126.833</v>
      </c>
      <c r="M109" s="4">
        <v>128.27699999999999</v>
      </c>
      <c r="N109" s="4">
        <v>112.083</v>
      </c>
    </row>
    <row r="110" spans="1:14" x14ac:dyDescent="0.35">
      <c r="A110" t="s">
        <v>123</v>
      </c>
      <c r="B110" t="s">
        <v>2</v>
      </c>
      <c r="C110" t="s">
        <v>1</v>
      </c>
      <c r="D110" s="4">
        <v>39.8947</v>
      </c>
      <c r="E110" s="4">
        <v>43.657800000000002</v>
      </c>
      <c r="F110" s="4">
        <v>43.7502</v>
      </c>
      <c r="G110" s="4">
        <v>46.518099999999997</v>
      </c>
      <c r="H110" s="4">
        <v>67.031899999999993</v>
      </c>
      <c r="I110" s="4">
        <v>70.617500000000007</v>
      </c>
      <c r="J110" s="4">
        <v>43.143799999999999</v>
      </c>
      <c r="K110" s="4">
        <v>36.221899999999998</v>
      </c>
      <c r="L110" s="4">
        <v>36.300800000000002</v>
      </c>
      <c r="M110" s="4">
        <v>35.350900000000003</v>
      </c>
      <c r="N110" s="4">
        <v>35.634500000000003</v>
      </c>
    </row>
    <row r="111" spans="1:14" x14ac:dyDescent="0.35">
      <c r="A111" t="s">
        <v>124</v>
      </c>
      <c r="B111" t="s">
        <v>2</v>
      </c>
      <c r="C111" t="s">
        <v>1</v>
      </c>
      <c r="D111" s="4">
        <v>93.571200000000005</v>
      </c>
      <c r="E111" s="4">
        <v>100.619</v>
      </c>
      <c r="F111" s="4">
        <v>101.874</v>
      </c>
      <c r="G111" s="4">
        <v>103.422</v>
      </c>
      <c r="H111" s="4">
        <v>105.819</v>
      </c>
      <c r="I111" s="4">
        <v>107.44799999999999</v>
      </c>
      <c r="J111" s="4">
        <v>65.769599999999997</v>
      </c>
      <c r="K111" s="4">
        <v>61.899000000000001</v>
      </c>
      <c r="L111" s="4">
        <v>70.500500000000002</v>
      </c>
      <c r="M111" s="4">
        <v>69.114999999999995</v>
      </c>
      <c r="N111" s="4">
        <v>61.286700000000003</v>
      </c>
    </row>
    <row r="112" spans="1:14" x14ac:dyDescent="0.35">
      <c r="A112" t="s">
        <v>125</v>
      </c>
      <c r="B112" t="s">
        <v>2</v>
      </c>
      <c r="C112" t="s">
        <v>1</v>
      </c>
      <c r="D112" s="4">
        <v>96.028099999999995</v>
      </c>
      <c r="E112" s="4">
        <v>97.721800000000002</v>
      </c>
      <c r="F112" s="4">
        <v>99.384399999999999</v>
      </c>
      <c r="G112" s="4">
        <v>101.151</v>
      </c>
      <c r="H112" s="4">
        <v>102.56100000000001</v>
      </c>
      <c r="I112" s="4">
        <v>103.354</v>
      </c>
      <c r="J112" s="4">
        <v>90.099900000000005</v>
      </c>
      <c r="K112" s="4">
        <v>88.748199999999997</v>
      </c>
      <c r="L112" s="4">
        <v>87.369299999999996</v>
      </c>
      <c r="M112" s="4">
        <v>84.396500000000003</v>
      </c>
      <c r="N112" s="4">
        <v>80.779200000000003</v>
      </c>
    </row>
    <row r="113" spans="1:14" x14ac:dyDescent="0.35">
      <c r="A113" t="s">
        <v>126</v>
      </c>
      <c r="B113" t="s">
        <v>2</v>
      </c>
      <c r="C113" t="s">
        <v>1</v>
      </c>
      <c r="D113" s="4">
        <v>179.31100000000001</v>
      </c>
      <c r="E113" s="4">
        <v>145.71299999999999</v>
      </c>
      <c r="F113" s="4">
        <v>148.06299999999999</v>
      </c>
      <c r="G113" s="4">
        <v>132.31800000000001</v>
      </c>
      <c r="H113" s="4">
        <v>154.041</v>
      </c>
      <c r="I113" s="4">
        <v>131.66800000000001</v>
      </c>
      <c r="J113" s="4">
        <v>134.035</v>
      </c>
      <c r="K113" s="4">
        <v>160.72800000000001</v>
      </c>
      <c r="L113" s="4">
        <v>206.21100000000001</v>
      </c>
      <c r="M113" s="4">
        <v>149.286</v>
      </c>
      <c r="N113" s="4">
        <v>158.99100000000001</v>
      </c>
    </row>
    <row r="114" spans="1:14" x14ac:dyDescent="0.35">
      <c r="A114" t="s">
        <v>127</v>
      </c>
      <c r="B114" t="s">
        <v>2</v>
      </c>
      <c r="C114" t="s">
        <v>1</v>
      </c>
      <c r="D114" s="4">
        <v>112.214</v>
      </c>
      <c r="E114" s="4">
        <v>112.264</v>
      </c>
      <c r="F114" s="4">
        <v>112.67</v>
      </c>
      <c r="G114" s="4">
        <v>113.289</v>
      </c>
      <c r="H114" s="4">
        <v>113.619</v>
      </c>
      <c r="I114" s="4">
        <v>114.164</v>
      </c>
      <c r="J114" s="4">
        <v>112.27500000000001</v>
      </c>
      <c r="K114" s="4">
        <v>111.94</v>
      </c>
      <c r="L114" s="4">
        <v>111.593</v>
      </c>
      <c r="M114" s="4">
        <v>110.376</v>
      </c>
      <c r="N114" s="4">
        <v>110.402</v>
      </c>
    </row>
    <row r="115" spans="1:14" x14ac:dyDescent="0.35">
      <c r="A115" t="s">
        <v>128</v>
      </c>
      <c r="B115" t="s">
        <v>2</v>
      </c>
      <c r="C115" t="s">
        <v>1</v>
      </c>
      <c r="D115" s="4">
        <v>153.137</v>
      </c>
      <c r="E115" s="4">
        <v>173.482</v>
      </c>
      <c r="F115" s="4">
        <v>151.864</v>
      </c>
      <c r="G115" s="4">
        <v>156.55699999999999</v>
      </c>
      <c r="H115" s="4">
        <v>160.738</v>
      </c>
      <c r="I115" s="4">
        <v>164.24</v>
      </c>
      <c r="J115" s="4">
        <v>171.90299999999999</v>
      </c>
      <c r="K115" s="4">
        <v>113.45</v>
      </c>
      <c r="L115" s="4">
        <v>133.869</v>
      </c>
      <c r="M115" s="4">
        <v>133.292</v>
      </c>
      <c r="N115" s="4">
        <v>132.31200000000001</v>
      </c>
    </row>
    <row r="116" spans="1:14" x14ac:dyDescent="0.35">
      <c r="A116" t="s">
        <v>129</v>
      </c>
      <c r="B116" t="s">
        <v>2</v>
      </c>
      <c r="C116" t="s">
        <v>1</v>
      </c>
      <c r="D116" s="4">
        <v>111.881</v>
      </c>
      <c r="E116" s="4">
        <v>111.85</v>
      </c>
      <c r="F116" s="4">
        <v>112.014</v>
      </c>
      <c r="G116" s="4">
        <v>112.02200000000001</v>
      </c>
      <c r="H116" s="4">
        <v>112.33199999999999</v>
      </c>
      <c r="I116" s="4">
        <v>112.294</v>
      </c>
      <c r="J116" s="4">
        <v>111.827</v>
      </c>
      <c r="K116" s="4">
        <v>111.568</v>
      </c>
      <c r="L116" s="4">
        <v>111.913</v>
      </c>
      <c r="M116" s="4">
        <v>111.59699999999999</v>
      </c>
      <c r="N116" s="4">
        <v>111.84</v>
      </c>
    </row>
    <row r="117" spans="1:14" x14ac:dyDescent="0.35">
      <c r="A117" t="s">
        <v>130</v>
      </c>
      <c r="B117" t="s">
        <v>2</v>
      </c>
      <c r="C117" t="s">
        <v>1</v>
      </c>
      <c r="D117" s="4">
        <v>142.07499999999999</v>
      </c>
      <c r="E117" s="4">
        <v>152.095</v>
      </c>
      <c r="F117" s="4">
        <v>150.84800000000001</v>
      </c>
      <c r="G117" s="4">
        <v>145.47200000000001</v>
      </c>
      <c r="H117" s="4">
        <v>151.20400000000001</v>
      </c>
      <c r="I117" s="4">
        <v>139.74199999999999</v>
      </c>
      <c r="J117" s="4">
        <v>150.06899999999999</v>
      </c>
      <c r="K117" s="4">
        <v>153.227</v>
      </c>
      <c r="L117" s="4">
        <v>155.637</v>
      </c>
      <c r="M117" s="4">
        <v>145.607</v>
      </c>
      <c r="N117" s="4">
        <v>151.648</v>
      </c>
    </row>
    <row r="118" spans="1:14" x14ac:dyDescent="0.35">
      <c r="A118" t="s">
        <v>131</v>
      </c>
      <c r="B118" t="s">
        <v>2</v>
      </c>
      <c r="C118" t="s">
        <v>1</v>
      </c>
      <c r="D118" s="4">
        <v>66.269499999999994</v>
      </c>
      <c r="E118" s="4">
        <v>66.213700000000003</v>
      </c>
      <c r="F118" s="4">
        <v>66.168800000000005</v>
      </c>
      <c r="G118" s="4">
        <v>66.205299999999994</v>
      </c>
      <c r="H118" s="4">
        <v>66.183099999999996</v>
      </c>
      <c r="I118" s="4">
        <v>66.080500000000001</v>
      </c>
      <c r="J118" s="4">
        <v>66.146699999999996</v>
      </c>
      <c r="K118" s="4">
        <v>66.132400000000004</v>
      </c>
      <c r="L118" s="4">
        <v>65.962400000000002</v>
      </c>
      <c r="M118" s="4">
        <v>65.672300000000007</v>
      </c>
      <c r="N118" s="4">
        <v>65.465699999999998</v>
      </c>
    </row>
    <row r="119" spans="1:14" x14ac:dyDescent="0.35">
      <c r="A119" t="s">
        <v>132</v>
      </c>
      <c r="B119" t="s">
        <v>2</v>
      </c>
      <c r="C119" t="s">
        <v>1</v>
      </c>
      <c r="D119" s="4">
        <v>138.357</v>
      </c>
      <c r="E119" s="4">
        <v>159.886</v>
      </c>
      <c r="F119" s="4">
        <v>139.03700000000001</v>
      </c>
      <c r="G119" s="4">
        <v>139.982</v>
      </c>
      <c r="H119" s="4">
        <v>143.63800000000001</v>
      </c>
      <c r="I119" s="4">
        <v>152.95099999999999</v>
      </c>
      <c r="J119" s="4">
        <v>159.78800000000001</v>
      </c>
      <c r="K119" s="4">
        <v>139.91499999999999</v>
      </c>
      <c r="L119" s="4">
        <v>159.01900000000001</v>
      </c>
      <c r="M119" s="4">
        <v>151.971</v>
      </c>
      <c r="N119" s="4">
        <v>127.208</v>
      </c>
    </row>
    <row r="120" spans="1:14" x14ac:dyDescent="0.35">
      <c r="A120" t="s">
        <v>133</v>
      </c>
      <c r="B120" t="s">
        <v>2</v>
      </c>
      <c r="C120" t="s">
        <v>1</v>
      </c>
      <c r="D120" s="4">
        <v>102.729</v>
      </c>
      <c r="E120" s="4">
        <v>103.11799999999999</v>
      </c>
      <c r="F120" s="4">
        <v>102.69499999999999</v>
      </c>
      <c r="G120" s="4">
        <v>103.27200000000001</v>
      </c>
      <c r="H120" s="4">
        <v>103.383</v>
      </c>
      <c r="I120" s="4">
        <v>103.92100000000001</v>
      </c>
      <c r="J120" s="4">
        <v>102.887</v>
      </c>
      <c r="K120" s="4">
        <v>102.54</v>
      </c>
      <c r="L120" s="4">
        <v>102.461</v>
      </c>
      <c r="M120" s="4">
        <v>101.53100000000001</v>
      </c>
      <c r="N120" s="4">
        <v>101.083</v>
      </c>
    </row>
    <row r="121" spans="1:14" x14ac:dyDescent="0.35">
      <c r="A121" t="s">
        <v>134</v>
      </c>
      <c r="B121" t="s">
        <v>2</v>
      </c>
      <c r="C121" t="s">
        <v>1</v>
      </c>
      <c r="D121" s="4">
        <v>123.312</v>
      </c>
      <c r="E121" s="4">
        <v>123.648</v>
      </c>
      <c r="F121" s="4">
        <v>123.276</v>
      </c>
      <c r="G121" s="4">
        <v>123.29900000000001</v>
      </c>
      <c r="H121" s="4">
        <v>123.32</v>
      </c>
      <c r="I121" s="4">
        <v>122.93600000000001</v>
      </c>
      <c r="J121" s="4">
        <v>123.539</v>
      </c>
      <c r="K121" s="4">
        <v>122.996</v>
      </c>
      <c r="L121" s="4">
        <v>117.48399999999999</v>
      </c>
      <c r="M121" s="4">
        <v>116.31399999999999</v>
      </c>
      <c r="N121" s="4">
        <v>116.274</v>
      </c>
    </row>
    <row r="122" spans="1:14" x14ac:dyDescent="0.35">
      <c r="A122" t="s">
        <v>135</v>
      </c>
      <c r="B122" t="s">
        <v>2</v>
      </c>
      <c r="C122" t="s">
        <v>1</v>
      </c>
      <c r="D122" s="4">
        <v>118.896</v>
      </c>
      <c r="E122" s="4">
        <v>119.017</v>
      </c>
      <c r="F122" s="4">
        <v>118.93899999999999</v>
      </c>
      <c r="G122" s="4">
        <v>119.399</v>
      </c>
      <c r="H122" s="4">
        <v>119.536</v>
      </c>
      <c r="I122" s="4">
        <v>119.059</v>
      </c>
      <c r="J122" s="4">
        <v>119.015</v>
      </c>
      <c r="K122" s="4">
        <v>118.39400000000001</v>
      </c>
      <c r="L122" s="4">
        <v>116.992</v>
      </c>
      <c r="M122" s="4">
        <v>117.276</v>
      </c>
      <c r="N122" s="4">
        <v>122.345</v>
      </c>
    </row>
    <row r="123" spans="1:14" x14ac:dyDescent="0.35">
      <c r="A123" t="s">
        <v>136</v>
      </c>
      <c r="B123" t="s">
        <v>2</v>
      </c>
      <c r="C123" t="s">
        <v>1</v>
      </c>
      <c r="D123" s="4">
        <v>110.89700000000001</v>
      </c>
      <c r="E123" s="4">
        <v>129.96</v>
      </c>
      <c r="F123" s="4">
        <v>118.453</v>
      </c>
      <c r="G123" s="4">
        <v>111.035</v>
      </c>
      <c r="H123" s="4">
        <v>129.697</v>
      </c>
      <c r="I123" s="4">
        <v>132.00700000000001</v>
      </c>
      <c r="J123" s="4">
        <v>129.08699999999999</v>
      </c>
      <c r="K123" s="4">
        <v>110.099</v>
      </c>
      <c r="L123" s="4">
        <v>129.72399999999999</v>
      </c>
      <c r="M123" s="4">
        <v>127.54300000000001</v>
      </c>
      <c r="N123" s="4">
        <v>129.374</v>
      </c>
    </row>
    <row r="124" spans="1:14" x14ac:dyDescent="0.35">
      <c r="A124" t="s">
        <v>137</v>
      </c>
      <c r="B124" t="s">
        <v>2</v>
      </c>
      <c r="C124" t="s">
        <v>1</v>
      </c>
      <c r="D124" s="4">
        <v>198.81200000000001</v>
      </c>
      <c r="E124" s="4">
        <v>210.624</v>
      </c>
      <c r="F124" s="4">
        <v>189.52699999999999</v>
      </c>
      <c r="G124" s="4">
        <v>198.732</v>
      </c>
      <c r="H124" s="4">
        <v>196.999</v>
      </c>
      <c r="I124" s="4">
        <v>197.19</v>
      </c>
      <c r="J124" s="4">
        <v>212.744</v>
      </c>
      <c r="K124" s="4">
        <v>201.506</v>
      </c>
      <c r="L124" s="4">
        <v>208.70599999999999</v>
      </c>
      <c r="M124" s="4">
        <v>171.852</v>
      </c>
      <c r="N124" s="4">
        <v>205.327</v>
      </c>
    </row>
    <row r="125" spans="1:14" x14ac:dyDescent="0.35">
      <c r="A125" t="s">
        <v>138</v>
      </c>
      <c r="B125" t="s">
        <v>2</v>
      </c>
      <c r="C125" t="s">
        <v>1</v>
      </c>
      <c r="D125" s="4">
        <v>86.721299999999999</v>
      </c>
      <c r="E125" s="4">
        <v>89.070499999999996</v>
      </c>
      <c r="F125" s="4">
        <v>88.830699999999993</v>
      </c>
      <c r="G125" s="4">
        <v>90.165400000000005</v>
      </c>
      <c r="H125" s="4">
        <v>89.509399999999999</v>
      </c>
      <c r="I125" s="4">
        <v>92.281800000000004</v>
      </c>
      <c r="J125" s="4">
        <v>88.135000000000005</v>
      </c>
      <c r="K125" s="4">
        <v>88.076300000000003</v>
      </c>
      <c r="L125" s="4">
        <v>117.04600000000001</v>
      </c>
      <c r="M125" s="4">
        <v>108.965</v>
      </c>
      <c r="N125" s="4">
        <v>86.593500000000006</v>
      </c>
    </row>
    <row r="126" spans="1:14" x14ac:dyDescent="0.35">
      <c r="A126" t="s">
        <v>139</v>
      </c>
      <c r="B126" t="s">
        <v>2</v>
      </c>
      <c r="C126" t="s">
        <v>1</v>
      </c>
      <c r="D126" s="4">
        <v>105.65600000000001</v>
      </c>
      <c r="E126" s="4">
        <v>115.887</v>
      </c>
      <c r="F126" s="4">
        <v>123.003</v>
      </c>
      <c r="G126" s="4">
        <v>126.295</v>
      </c>
      <c r="H126" s="4">
        <v>130.59</v>
      </c>
      <c r="I126" s="4">
        <v>118.318</v>
      </c>
      <c r="J126" s="4">
        <v>105.163</v>
      </c>
      <c r="K126" s="4">
        <v>103.20099999999999</v>
      </c>
      <c r="L126" s="4">
        <v>100.41</v>
      </c>
      <c r="M126" s="4">
        <v>89.340599999999995</v>
      </c>
      <c r="N126" s="4">
        <v>60.525300000000001</v>
      </c>
    </row>
    <row r="127" spans="1:14" x14ac:dyDescent="0.35">
      <c r="A127" t="s">
        <v>140</v>
      </c>
      <c r="B127" t="s">
        <v>2</v>
      </c>
      <c r="C127" t="s">
        <v>1</v>
      </c>
      <c r="D127" s="4">
        <v>147.82900000000001</v>
      </c>
      <c r="E127" s="4">
        <v>199.02600000000001</v>
      </c>
      <c r="F127" s="4">
        <v>158.488</v>
      </c>
      <c r="G127" s="4">
        <v>184.399</v>
      </c>
      <c r="H127" s="4">
        <v>183.489</v>
      </c>
      <c r="I127" s="4">
        <v>162.12299999999999</v>
      </c>
      <c r="J127" s="4">
        <v>198.76499999999999</v>
      </c>
      <c r="K127" s="4">
        <v>149.827</v>
      </c>
      <c r="L127" s="4">
        <v>191.68899999999999</v>
      </c>
      <c r="M127" s="4">
        <v>169.923</v>
      </c>
      <c r="N127" s="4">
        <v>188.90100000000001</v>
      </c>
    </row>
    <row r="128" spans="1:14" x14ac:dyDescent="0.35">
      <c r="A128" t="s">
        <v>141</v>
      </c>
      <c r="B128" t="s">
        <v>2</v>
      </c>
      <c r="C128" t="s">
        <v>1</v>
      </c>
      <c r="D128" s="4">
        <v>126.943</v>
      </c>
      <c r="E128" s="4">
        <v>127.636</v>
      </c>
      <c r="F128" s="4">
        <v>127.85299999999999</v>
      </c>
      <c r="G128" s="4">
        <v>128.95699999999999</v>
      </c>
      <c r="H128" s="4">
        <v>130.50899999999999</v>
      </c>
      <c r="I128" s="4">
        <v>131.964</v>
      </c>
      <c r="J128" s="4">
        <v>126.867</v>
      </c>
      <c r="K128" s="4">
        <v>125.569</v>
      </c>
      <c r="L128" s="4">
        <v>124.249</v>
      </c>
      <c r="M128" s="4">
        <v>122.10599999999999</v>
      </c>
      <c r="N128" s="4">
        <v>119.39</v>
      </c>
    </row>
    <row r="129" spans="1:14" x14ac:dyDescent="0.35">
      <c r="A129" t="s">
        <v>142</v>
      </c>
      <c r="B129" t="s">
        <v>2</v>
      </c>
      <c r="C129" t="s">
        <v>1</v>
      </c>
      <c r="D129" s="4">
        <v>115.846</v>
      </c>
      <c r="E129" s="4">
        <v>131.20400000000001</v>
      </c>
      <c r="F129" s="4">
        <v>122.608</v>
      </c>
      <c r="G129" s="4">
        <v>113.369</v>
      </c>
      <c r="H129" s="4">
        <v>130.47900000000001</v>
      </c>
      <c r="I129" s="4">
        <v>133.744</v>
      </c>
      <c r="J129" s="4">
        <v>131.636</v>
      </c>
      <c r="K129" s="4">
        <v>113.378</v>
      </c>
      <c r="L129" s="4">
        <v>132.88499999999999</v>
      </c>
      <c r="M129" s="4">
        <v>129.40199999999999</v>
      </c>
      <c r="N129" s="4">
        <v>131.85</v>
      </c>
    </row>
    <row r="130" spans="1:14" x14ac:dyDescent="0.35">
      <c r="A130" t="s">
        <v>143</v>
      </c>
      <c r="B130" t="s">
        <v>2</v>
      </c>
      <c r="C130" t="s">
        <v>1</v>
      </c>
      <c r="D130" s="4">
        <v>131.226</v>
      </c>
      <c r="E130" s="4">
        <v>130.83799999999999</v>
      </c>
      <c r="F130" s="4">
        <v>131.369</v>
      </c>
      <c r="G130" s="4">
        <v>131.15700000000001</v>
      </c>
      <c r="H130" s="4">
        <v>131.65299999999999</v>
      </c>
      <c r="I130" s="4">
        <v>130.708</v>
      </c>
      <c r="J130" s="4">
        <v>131.16999999999999</v>
      </c>
      <c r="K130" s="4">
        <v>131.26499999999999</v>
      </c>
      <c r="L130" s="4">
        <v>128.49</v>
      </c>
      <c r="M130" s="4">
        <v>111.1</v>
      </c>
      <c r="N130" s="4">
        <v>118.699</v>
      </c>
    </row>
    <row r="131" spans="1:14" x14ac:dyDescent="0.35">
      <c r="A131" t="s">
        <v>144</v>
      </c>
      <c r="B131" t="s">
        <v>2</v>
      </c>
      <c r="C131" t="s">
        <v>1</v>
      </c>
      <c r="D131" s="4">
        <v>125.33799999999999</v>
      </c>
      <c r="E131" s="4">
        <v>125.52800000000001</v>
      </c>
      <c r="F131" s="4">
        <v>125.098</v>
      </c>
      <c r="G131" s="4">
        <v>125.349</v>
      </c>
      <c r="H131" s="4">
        <v>125.145</v>
      </c>
      <c r="I131" s="4">
        <v>125.501</v>
      </c>
      <c r="J131" s="4">
        <v>125.58499999999999</v>
      </c>
      <c r="K131" s="4">
        <v>125.10299999999999</v>
      </c>
      <c r="L131" s="4">
        <v>125.444</v>
      </c>
      <c r="M131" s="4">
        <v>125.173</v>
      </c>
      <c r="N131" s="4">
        <v>120.712</v>
      </c>
    </row>
    <row r="132" spans="1:14" x14ac:dyDescent="0.35">
      <c r="A132" t="s">
        <v>145</v>
      </c>
      <c r="B132" t="s">
        <v>2</v>
      </c>
      <c r="C132" t="s">
        <v>1</v>
      </c>
      <c r="D132" s="4">
        <v>110.783</v>
      </c>
      <c r="E132" s="4">
        <v>111.04600000000001</v>
      </c>
      <c r="F132" s="4">
        <v>110.803</v>
      </c>
      <c r="G132" s="4">
        <v>110.822</v>
      </c>
      <c r="H132" s="4">
        <v>111.30200000000001</v>
      </c>
      <c r="I132" s="4">
        <v>110.98399999999999</v>
      </c>
      <c r="J132" s="4">
        <v>111.121</v>
      </c>
      <c r="K132" s="4">
        <v>110.776</v>
      </c>
      <c r="L132" s="4">
        <v>111.997</v>
      </c>
      <c r="M132" s="4">
        <v>111.526</v>
      </c>
      <c r="N132" s="4">
        <v>109.649</v>
      </c>
    </row>
    <row r="133" spans="1:14" x14ac:dyDescent="0.35">
      <c r="A133" t="s">
        <v>146</v>
      </c>
      <c r="B133" t="s">
        <v>2</v>
      </c>
      <c r="C133" t="s">
        <v>1</v>
      </c>
      <c r="D133" s="4">
        <v>108.459</v>
      </c>
      <c r="E133" s="4">
        <v>119.155</v>
      </c>
      <c r="F133" s="4">
        <v>108.93600000000001</v>
      </c>
      <c r="G133" s="4">
        <v>111.346</v>
      </c>
      <c r="H133" s="4">
        <v>119.361</v>
      </c>
      <c r="I133" s="4">
        <v>120.496</v>
      </c>
      <c r="J133" s="4">
        <v>114.584</v>
      </c>
      <c r="K133" s="4">
        <v>108.63200000000001</v>
      </c>
      <c r="L133" s="4">
        <v>119.89700000000001</v>
      </c>
      <c r="M133" s="4">
        <v>113.39700000000001</v>
      </c>
      <c r="N133" s="4">
        <v>118.137</v>
      </c>
    </row>
    <row r="134" spans="1:14" x14ac:dyDescent="0.35">
      <c r="A134" t="s">
        <v>147</v>
      </c>
      <c r="B134" t="s">
        <v>2</v>
      </c>
      <c r="C134" t="s">
        <v>1</v>
      </c>
      <c r="D134" s="4">
        <v>164.3</v>
      </c>
      <c r="E134" s="4">
        <v>164.46700000000001</v>
      </c>
      <c r="F134" s="4">
        <v>164.68299999999999</v>
      </c>
      <c r="G134" s="4">
        <v>164.39400000000001</v>
      </c>
      <c r="H134" s="4">
        <v>164.29400000000001</v>
      </c>
      <c r="I134" s="4">
        <v>164.74799999999999</v>
      </c>
      <c r="J134" s="4">
        <v>164.55799999999999</v>
      </c>
      <c r="K134" s="4">
        <v>164.173</v>
      </c>
      <c r="L134" s="4">
        <v>164.786</v>
      </c>
      <c r="M134" s="4">
        <v>163.6</v>
      </c>
      <c r="N134" s="4">
        <v>163.65299999999999</v>
      </c>
    </row>
    <row r="135" spans="1:14" x14ac:dyDescent="0.35">
      <c r="A135" t="s">
        <v>148</v>
      </c>
      <c r="B135" t="s">
        <v>2</v>
      </c>
      <c r="C135" t="s">
        <v>1</v>
      </c>
      <c r="D135" s="4">
        <v>119.535</v>
      </c>
      <c r="E135" s="4">
        <v>120</v>
      </c>
      <c r="F135" s="4">
        <v>120.22499999999999</v>
      </c>
      <c r="G135" s="4">
        <v>120.765</v>
      </c>
      <c r="H135" s="4">
        <v>120.79900000000001</v>
      </c>
      <c r="I135" s="4">
        <v>121.44499999999999</v>
      </c>
      <c r="J135" s="4">
        <v>119.29600000000001</v>
      </c>
      <c r="K135" s="4">
        <v>118.34</v>
      </c>
      <c r="L135" s="4">
        <v>117.68</v>
      </c>
      <c r="M135" s="4">
        <v>115.742</v>
      </c>
      <c r="N135" s="4">
        <v>113.575</v>
      </c>
    </row>
    <row r="136" spans="1:14" x14ac:dyDescent="0.35">
      <c r="A136" t="s">
        <v>149</v>
      </c>
      <c r="B136" t="s">
        <v>2</v>
      </c>
      <c r="C136" t="s">
        <v>1</v>
      </c>
      <c r="D136" s="4">
        <v>110.253</v>
      </c>
      <c r="E136" s="4">
        <v>129.922</v>
      </c>
      <c r="F136" s="4">
        <v>109.71299999999999</v>
      </c>
      <c r="G136" s="4">
        <v>110.248</v>
      </c>
      <c r="H136" s="4">
        <v>124.85599999999999</v>
      </c>
      <c r="I136" s="4">
        <v>125.256</v>
      </c>
      <c r="J136" s="4">
        <v>126.807</v>
      </c>
      <c r="K136" s="4">
        <v>110.14</v>
      </c>
      <c r="L136" s="4">
        <v>129.4</v>
      </c>
      <c r="M136" s="4">
        <v>122.065</v>
      </c>
      <c r="N136" s="4">
        <v>128.91</v>
      </c>
    </row>
    <row r="137" spans="1:14" x14ac:dyDescent="0.35">
      <c r="A137" t="s">
        <v>150</v>
      </c>
      <c r="B137" t="s">
        <v>2</v>
      </c>
      <c r="C137" t="s">
        <v>1</v>
      </c>
      <c r="D137" s="4">
        <v>94.805999999999997</v>
      </c>
      <c r="E137" s="4">
        <v>95.178299999999993</v>
      </c>
      <c r="F137" s="4">
        <v>95.498900000000006</v>
      </c>
      <c r="G137" s="4">
        <v>96.804599999999994</v>
      </c>
      <c r="H137" s="4">
        <v>97.172799999999995</v>
      </c>
      <c r="I137" s="4">
        <v>97.718800000000002</v>
      </c>
      <c r="J137" s="4">
        <v>94.743700000000004</v>
      </c>
      <c r="K137" s="4">
        <v>95.122699999999995</v>
      </c>
      <c r="L137" s="4">
        <v>95.659300000000002</v>
      </c>
      <c r="M137" s="4">
        <v>94.149900000000002</v>
      </c>
      <c r="N137" s="4">
        <v>94.816199999999995</v>
      </c>
    </row>
    <row r="138" spans="1:14" x14ac:dyDescent="0.35">
      <c r="A138" t="s">
        <v>151</v>
      </c>
      <c r="B138" t="s">
        <v>2</v>
      </c>
      <c r="C138" t="s">
        <v>1</v>
      </c>
      <c r="D138" s="4">
        <v>77.634100000000004</v>
      </c>
      <c r="E138" s="4">
        <v>98.665899999999993</v>
      </c>
      <c r="F138" s="4">
        <v>81.723299999999995</v>
      </c>
      <c r="G138" s="4">
        <v>132.00700000000001</v>
      </c>
      <c r="H138" s="4">
        <v>131.136</v>
      </c>
      <c r="I138" s="4">
        <v>167.11099999999999</v>
      </c>
      <c r="J138" s="4">
        <v>99.917199999999994</v>
      </c>
      <c r="K138" s="4">
        <v>76.205100000000002</v>
      </c>
      <c r="L138" s="4">
        <v>95.074200000000005</v>
      </c>
      <c r="M138" s="4">
        <v>108.136</v>
      </c>
      <c r="N138" s="4">
        <v>94.673400000000001</v>
      </c>
    </row>
    <row r="139" spans="1:14" x14ac:dyDescent="0.35">
      <c r="A139" t="s">
        <v>152</v>
      </c>
      <c r="B139" t="s">
        <v>2</v>
      </c>
      <c r="C139" t="s">
        <v>1</v>
      </c>
      <c r="D139" s="4">
        <v>67.150199999999998</v>
      </c>
      <c r="E139" s="4">
        <v>69.433300000000003</v>
      </c>
      <c r="F139" s="4">
        <v>68.691400000000002</v>
      </c>
      <c r="G139" s="4">
        <v>70.266599999999997</v>
      </c>
      <c r="H139" s="4">
        <v>74.4041</v>
      </c>
      <c r="I139" s="4">
        <v>73.310699999999997</v>
      </c>
      <c r="J139" s="4">
        <v>78.125399999999999</v>
      </c>
      <c r="K139" s="4">
        <v>72.983199999999997</v>
      </c>
      <c r="L139" s="4">
        <v>66.0642</v>
      </c>
      <c r="M139" s="4">
        <v>75.740799999999993</v>
      </c>
      <c r="N139" s="4">
        <v>61.561700000000002</v>
      </c>
    </row>
    <row r="140" spans="1:14" x14ac:dyDescent="0.35">
      <c r="A140" t="s">
        <v>153</v>
      </c>
      <c r="B140" t="s">
        <v>2</v>
      </c>
      <c r="C140" t="s">
        <v>1</v>
      </c>
      <c r="D140" s="4">
        <v>116.09</v>
      </c>
      <c r="E140" s="4">
        <v>116.754</v>
      </c>
      <c r="F140" s="4">
        <v>116.825</v>
      </c>
      <c r="G140" s="4">
        <v>117.68300000000001</v>
      </c>
      <c r="H140" s="4">
        <v>117.973</v>
      </c>
      <c r="I140" s="4">
        <v>117.97</v>
      </c>
      <c r="J140" s="4">
        <v>115.803</v>
      </c>
      <c r="K140" s="4">
        <v>115.42100000000001</v>
      </c>
      <c r="L140" s="4">
        <v>114.355</v>
      </c>
      <c r="M140" s="4">
        <v>113.593</v>
      </c>
      <c r="N140" s="4">
        <v>111.837</v>
      </c>
    </row>
    <row r="141" spans="1:14" x14ac:dyDescent="0.35">
      <c r="A141" t="s">
        <v>154</v>
      </c>
      <c r="B141" t="s">
        <v>2</v>
      </c>
      <c r="C141" t="s">
        <v>1</v>
      </c>
      <c r="D141" s="4">
        <v>105.568</v>
      </c>
      <c r="E141" s="4">
        <v>115.497</v>
      </c>
      <c r="F141" s="4">
        <v>116.038</v>
      </c>
      <c r="G141" s="4">
        <v>98.778700000000001</v>
      </c>
      <c r="H141" s="4">
        <v>117.017</v>
      </c>
      <c r="I141" s="4">
        <v>117.982</v>
      </c>
      <c r="J141" s="4">
        <v>116.10299999999999</v>
      </c>
      <c r="K141" s="4">
        <v>97.702600000000004</v>
      </c>
      <c r="L141" s="4">
        <v>115.887</v>
      </c>
      <c r="M141" s="4">
        <v>124.06399999999999</v>
      </c>
      <c r="N141" s="4">
        <v>112.129</v>
      </c>
    </row>
    <row r="142" spans="1:14" x14ac:dyDescent="0.35">
      <c r="A142" t="s">
        <v>155</v>
      </c>
      <c r="B142" t="s">
        <v>2</v>
      </c>
      <c r="C142" t="s">
        <v>1</v>
      </c>
      <c r="D142" s="4">
        <v>67.997799999999998</v>
      </c>
      <c r="E142" s="4">
        <v>86.806799999999996</v>
      </c>
      <c r="F142" s="4">
        <v>68.229900000000001</v>
      </c>
      <c r="G142" s="4">
        <v>68.343699999999998</v>
      </c>
      <c r="H142" s="4">
        <v>80.565299999999993</v>
      </c>
      <c r="I142" s="4">
        <v>88.502099999999999</v>
      </c>
      <c r="J142" s="4">
        <v>86.501099999999994</v>
      </c>
      <c r="K142" s="4">
        <v>71.630099999999999</v>
      </c>
      <c r="L142" s="4">
        <v>88.547899999999998</v>
      </c>
      <c r="M142" s="4">
        <v>103.744</v>
      </c>
      <c r="N142" s="4">
        <v>86.456299999999999</v>
      </c>
    </row>
    <row r="143" spans="1:14" x14ac:dyDescent="0.35">
      <c r="A143" t="s">
        <v>156</v>
      </c>
      <c r="B143" t="s">
        <v>2</v>
      </c>
      <c r="C143" t="s">
        <v>1</v>
      </c>
      <c r="D143" s="4">
        <v>154.624</v>
      </c>
      <c r="E143" s="4">
        <v>151.179</v>
      </c>
      <c r="F143" s="4">
        <v>154.21</v>
      </c>
      <c r="G143" s="4">
        <v>150.22999999999999</v>
      </c>
      <c r="H143" s="4">
        <v>149.619</v>
      </c>
      <c r="I143" s="4">
        <v>151.839</v>
      </c>
      <c r="J143" s="4">
        <v>151.846</v>
      </c>
      <c r="K143" s="4">
        <v>167.358</v>
      </c>
      <c r="L143" s="4">
        <v>165.12100000000001</v>
      </c>
      <c r="M143" s="4">
        <v>169.27099999999999</v>
      </c>
      <c r="N143" s="4">
        <v>141.756</v>
      </c>
    </row>
    <row r="144" spans="1:14" x14ac:dyDescent="0.35">
      <c r="A144" t="s">
        <v>157</v>
      </c>
      <c r="B144" t="s">
        <v>2</v>
      </c>
      <c r="C144" t="s">
        <v>1</v>
      </c>
      <c r="D144" s="4">
        <v>121.199</v>
      </c>
      <c r="E144" s="4">
        <v>122.637</v>
      </c>
      <c r="F144" s="4">
        <v>123.32</v>
      </c>
      <c r="G144" s="4">
        <v>127.755</v>
      </c>
      <c r="H144" s="4">
        <v>129.499</v>
      </c>
      <c r="I144" s="4">
        <v>129.98099999999999</v>
      </c>
      <c r="J144" s="4">
        <v>120.312</v>
      </c>
      <c r="K144" s="4">
        <v>119.85899999999999</v>
      </c>
      <c r="L144" s="4">
        <v>95.6995</v>
      </c>
      <c r="M144" s="4">
        <v>88.909499999999994</v>
      </c>
      <c r="N144" s="4">
        <v>94.5809</v>
      </c>
    </row>
    <row r="145" spans="1:14" x14ac:dyDescent="0.35">
      <c r="A145" t="s">
        <v>158</v>
      </c>
      <c r="B145" t="s">
        <v>2</v>
      </c>
      <c r="C145" t="s">
        <v>1</v>
      </c>
      <c r="D145" s="4">
        <v>68.580600000000004</v>
      </c>
      <c r="E145" s="4">
        <v>83.379099999999994</v>
      </c>
      <c r="F145" s="4">
        <v>83.4756</v>
      </c>
      <c r="G145" s="4">
        <v>84.069699999999997</v>
      </c>
      <c r="H145" s="4">
        <v>84.265299999999996</v>
      </c>
      <c r="I145" s="4">
        <v>84.055499999999995</v>
      </c>
      <c r="J145" s="4">
        <v>82.763900000000007</v>
      </c>
      <c r="K145" s="4">
        <v>73.072000000000003</v>
      </c>
      <c r="L145" s="4">
        <v>83.807599999999994</v>
      </c>
      <c r="M145" s="4">
        <v>70.084400000000002</v>
      </c>
      <c r="N145" s="4">
        <v>83.295900000000003</v>
      </c>
    </row>
    <row r="146" spans="1:14" x14ac:dyDescent="0.35">
      <c r="A146" t="s">
        <v>159</v>
      </c>
      <c r="B146" t="s">
        <v>2</v>
      </c>
      <c r="C146" t="s">
        <v>1</v>
      </c>
      <c r="D146" s="4">
        <v>101.747</v>
      </c>
      <c r="E146" s="4">
        <v>101.611</v>
      </c>
      <c r="F146" s="4">
        <v>101.69199999999999</v>
      </c>
      <c r="G146" s="4">
        <v>101.992</v>
      </c>
      <c r="H146" s="4">
        <v>101.753</v>
      </c>
      <c r="I146" s="4">
        <v>102.134</v>
      </c>
      <c r="J146" s="4">
        <v>101.49</v>
      </c>
      <c r="K146" s="4">
        <v>101.619</v>
      </c>
      <c r="L146" s="4">
        <v>101.456</v>
      </c>
      <c r="M146" s="4">
        <v>101.67700000000001</v>
      </c>
      <c r="N146" s="4">
        <v>97.751499999999993</v>
      </c>
    </row>
    <row r="147" spans="1:14" x14ac:dyDescent="0.35">
      <c r="A147" t="s">
        <v>160</v>
      </c>
      <c r="B147" t="s">
        <v>2</v>
      </c>
      <c r="C147" t="s">
        <v>1</v>
      </c>
      <c r="D147" s="4">
        <v>125.446</v>
      </c>
      <c r="E147" s="4">
        <v>125.72499999999999</v>
      </c>
      <c r="F147" s="4">
        <v>125.54600000000001</v>
      </c>
      <c r="G147" s="4">
        <v>125.367</v>
      </c>
      <c r="H147" s="4">
        <v>125.119</v>
      </c>
      <c r="I147" s="4">
        <v>125.30200000000001</v>
      </c>
      <c r="J147" s="4">
        <v>125.749</v>
      </c>
      <c r="K147" s="4">
        <v>125.143</v>
      </c>
      <c r="L147" s="4">
        <v>125.783</v>
      </c>
      <c r="M147" s="4">
        <v>124.46899999999999</v>
      </c>
      <c r="N147" s="4">
        <v>124.209</v>
      </c>
    </row>
    <row r="148" spans="1:14" x14ac:dyDescent="0.35">
      <c r="A148" t="s">
        <v>161</v>
      </c>
      <c r="B148" t="s">
        <v>2</v>
      </c>
      <c r="C148" t="s">
        <v>1</v>
      </c>
      <c r="D148" s="4">
        <v>116.815</v>
      </c>
      <c r="E148" s="4">
        <v>117.518</v>
      </c>
      <c r="F148" s="4">
        <v>117.633</v>
      </c>
      <c r="G148" s="4">
        <v>117.492</v>
      </c>
      <c r="H148" s="4">
        <v>118.16500000000001</v>
      </c>
      <c r="I148" s="4">
        <v>118.178</v>
      </c>
      <c r="J148" s="4">
        <v>117.155</v>
      </c>
      <c r="K148" s="4">
        <v>116.33</v>
      </c>
      <c r="L148" s="4">
        <v>116.18</v>
      </c>
      <c r="M148" s="4">
        <v>115.22799999999999</v>
      </c>
      <c r="N148" s="4">
        <v>114.22</v>
      </c>
    </row>
    <row r="149" spans="1:14" x14ac:dyDescent="0.35">
      <c r="A149" t="s">
        <v>162</v>
      </c>
      <c r="B149" t="s">
        <v>2</v>
      </c>
      <c r="C149" t="s">
        <v>1</v>
      </c>
      <c r="D149" s="4">
        <v>56.264899999999997</v>
      </c>
      <c r="E149" s="4">
        <v>75.879099999999994</v>
      </c>
      <c r="F149" s="4">
        <v>54.593400000000003</v>
      </c>
      <c r="G149" s="4">
        <v>53.821599999999997</v>
      </c>
      <c r="H149" s="4">
        <v>80.495999999999995</v>
      </c>
      <c r="I149" s="4">
        <v>85.427899999999994</v>
      </c>
      <c r="J149" s="4">
        <v>76.585400000000007</v>
      </c>
      <c r="K149" s="4">
        <v>51.868200000000002</v>
      </c>
      <c r="L149" s="4">
        <v>73.018000000000001</v>
      </c>
      <c r="M149" s="4">
        <v>78.4786</v>
      </c>
      <c r="N149" s="4">
        <v>73.703599999999994</v>
      </c>
    </row>
    <row r="150" spans="1:14" x14ac:dyDescent="0.35">
      <c r="A150" t="s">
        <v>163</v>
      </c>
      <c r="B150" t="s">
        <v>2</v>
      </c>
      <c r="C150" t="s">
        <v>1</v>
      </c>
      <c r="D150" s="4">
        <v>107.071</v>
      </c>
      <c r="E150" s="4">
        <v>106.65900000000001</v>
      </c>
      <c r="F150" s="4">
        <v>106.67700000000001</v>
      </c>
      <c r="G150" s="4">
        <v>106.839</v>
      </c>
      <c r="H150" s="4">
        <v>106.693</v>
      </c>
      <c r="I150" s="4">
        <v>106.639</v>
      </c>
      <c r="J150" s="4">
        <v>106.375</v>
      </c>
      <c r="K150" s="4">
        <v>106.979</v>
      </c>
      <c r="L150" s="4">
        <v>107.288</v>
      </c>
      <c r="M150" s="4">
        <v>106.13</v>
      </c>
      <c r="N150" s="4">
        <v>106.755</v>
      </c>
    </row>
    <row r="151" spans="1:14" x14ac:dyDescent="0.35">
      <c r="A151" t="s">
        <v>164</v>
      </c>
      <c r="B151" t="s">
        <v>2</v>
      </c>
      <c r="C151" t="s">
        <v>1</v>
      </c>
      <c r="D151" s="4">
        <v>113.34399999999999</v>
      </c>
      <c r="E151" s="4">
        <v>122.819</v>
      </c>
      <c r="F151" s="4">
        <v>122.306</v>
      </c>
      <c r="G151" s="4">
        <v>103.79</v>
      </c>
      <c r="H151" s="4">
        <v>127.614</v>
      </c>
      <c r="I151" s="4">
        <v>122.797</v>
      </c>
      <c r="J151" s="4">
        <v>121.30200000000001</v>
      </c>
      <c r="K151" s="4">
        <v>109.04300000000001</v>
      </c>
      <c r="L151" s="4">
        <v>121.97</v>
      </c>
      <c r="M151" s="4">
        <v>122.39100000000001</v>
      </c>
      <c r="N151" s="4">
        <v>136.53</v>
      </c>
    </row>
    <row r="152" spans="1:14" x14ac:dyDescent="0.35">
      <c r="A152" t="s">
        <v>165</v>
      </c>
      <c r="B152" t="s">
        <v>2</v>
      </c>
      <c r="C152" t="s">
        <v>1</v>
      </c>
      <c r="D152" s="4">
        <v>115.956</v>
      </c>
      <c r="E152" s="4">
        <v>117.285</v>
      </c>
      <c r="F152" s="4">
        <v>117.009</v>
      </c>
      <c r="G152" s="4">
        <v>116.66500000000001</v>
      </c>
      <c r="H152" s="4">
        <v>116.944</v>
      </c>
      <c r="I152" s="4">
        <v>116.98699999999999</v>
      </c>
      <c r="J152" s="4">
        <v>116.621</v>
      </c>
      <c r="K152" s="4">
        <v>115.93600000000001</v>
      </c>
      <c r="L152" s="4">
        <v>115.568</v>
      </c>
      <c r="M152" s="4">
        <v>114.373</v>
      </c>
      <c r="N152" s="4">
        <v>113.375</v>
      </c>
    </row>
    <row r="153" spans="1:14" x14ac:dyDescent="0.35">
      <c r="A153" t="s">
        <v>166</v>
      </c>
      <c r="B153" t="s">
        <v>2</v>
      </c>
      <c r="C153" t="s">
        <v>1</v>
      </c>
      <c r="D153" s="4">
        <v>82.515799999999999</v>
      </c>
      <c r="E153" s="4">
        <v>94.5595</v>
      </c>
      <c r="F153" s="4">
        <v>76.221599999999995</v>
      </c>
      <c r="G153" s="4">
        <v>79.085899999999995</v>
      </c>
      <c r="H153" s="4">
        <v>96.091499999999996</v>
      </c>
      <c r="I153" s="4">
        <v>96.752899999999997</v>
      </c>
      <c r="J153" s="4">
        <v>94.200100000000006</v>
      </c>
      <c r="K153" s="4">
        <v>87.379900000000006</v>
      </c>
      <c r="L153" s="4">
        <v>100.64400000000001</v>
      </c>
      <c r="M153" s="4">
        <v>101.825</v>
      </c>
      <c r="N153" s="4">
        <v>82.441500000000005</v>
      </c>
    </row>
    <row r="154" spans="1:14" x14ac:dyDescent="0.35">
      <c r="A154" t="s">
        <v>167</v>
      </c>
      <c r="B154" t="s">
        <v>2</v>
      </c>
      <c r="C154" t="s">
        <v>1</v>
      </c>
      <c r="D154" s="4">
        <v>162.05000000000001</v>
      </c>
      <c r="E154" s="4">
        <v>161.57599999999999</v>
      </c>
      <c r="F154" s="4">
        <v>161.42099999999999</v>
      </c>
      <c r="G154" s="4">
        <v>160.89699999999999</v>
      </c>
      <c r="H154" s="4">
        <v>161.71899999999999</v>
      </c>
      <c r="I154" s="4">
        <v>161.958</v>
      </c>
      <c r="J154" s="4">
        <v>161.60300000000001</v>
      </c>
      <c r="K154" s="4">
        <v>161.95599999999999</v>
      </c>
      <c r="L154" s="4">
        <v>162.21799999999999</v>
      </c>
      <c r="M154" s="4">
        <v>162.73599999999999</v>
      </c>
      <c r="N154" s="4">
        <v>162.65299999999999</v>
      </c>
    </row>
    <row r="155" spans="1:14" x14ac:dyDescent="0.35">
      <c r="A155" t="s">
        <v>168</v>
      </c>
      <c r="B155" t="s">
        <v>2</v>
      </c>
      <c r="C155" t="s">
        <v>1</v>
      </c>
      <c r="D155" s="4">
        <v>112.93899999999999</v>
      </c>
      <c r="E155" s="4">
        <v>121.17700000000001</v>
      </c>
      <c r="F155" s="4">
        <v>120.947</v>
      </c>
      <c r="G155" s="4">
        <v>110.643</v>
      </c>
      <c r="H155" s="4">
        <v>121.919</v>
      </c>
      <c r="I155" s="4">
        <v>122.97499999999999</v>
      </c>
      <c r="J155" s="4">
        <v>121.205</v>
      </c>
      <c r="K155" s="4">
        <v>111.5</v>
      </c>
      <c r="L155" s="4">
        <v>121.532</v>
      </c>
      <c r="M155" s="4">
        <v>119.792</v>
      </c>
      <c r="N155" s="4">
        <v>120.13500000000001</v>
      </c>
    </row>
    <row r="156" spans="1:14" x14ac:dyDescent="0.35">
      <c r="A156" t="s">
        <v>169</v>
      </c>
      <c r="B156" t="s">
        <v>2</v>
      </c>
      <c r="C156" t="s">
        <v>1</v>
      </c>
      <c r="D156" s="4">
        <v>138.22399999999999</v>
      </c>
      <c r="E156" s="4">
        <v>137.95699999999999</v>
      </c>
      <c r="F156" s="4">
        <v>137.94399999999999</v>
      </c>
      <c r="G156" s="4">
        <v>137.191</v>
      </c>
      <c r="H156" s="4">
        <v>137.21100000000001</v>
      </c>
      <c r="I156" s="4">
        <v>136.43600000000001</v>
      </c>
      <c r="J156" s="4">
        <v>138.68700000000001</v>
      </c>
      <c r="K156" s="4">
        <v>139.10300000000001</v>
      </c>
      <c r="L156" s="4">
        <v>139.31800000000001</v>
      </c>
      <c r="M156" s="4">
        <v>142.88999999999999</v>
      </c>
      <c r="N156" s="4">
        <v>136.36099999999999</v>
      </c>
    </row>
    <row r="157" spans="1:14" x14ac:dyDescent="0.35">
      <c r="A157" t="s">
        <v>170</v>
      </c>
      <c r="B157" t="s">
        <v>2</v>
      </c>
      <c r="C157" t="s">
        <v>1</v>
      </c>
      <c r="D157" s="4">
        <v>107.315</v>
      </c>
      <c r="E157" s="4">
        <v>107.43300000000001</v>
      </c>
      <c r="F157" s="4">
        <v>107.789</v>
      </c>
      <c r="G157" s="4">
        <v>107.504</v>
      </c>
      <c r="H157" s="4">
        <v>108.541</v>
      </c>
      <c r="I157" s="4">
        <v>108.93</v>
      </c>
      <c r="J157" s="4">
        <v>107.238</v>
      </c>
      <c r="K157" s="4">
        <v>106.86</v>
      </c>
      <c r="L157" s="4">
        <v>105.64100000000001</v>
      </c>
      <c r="M157" s="4">
        <v>105.002</v>
      </c>
      <c r="N157" s="4">
        <v>104.143</v>
      </c>
    </row>
    <row r="158" spans="1:14" x14ac:dyDescent="0.35">
      <c r="A158" t="s">
        <v>171</v>
      </c>
      <c r="B158" t="s">
        <v>2</v>
      </c>
      <c r="C158" t="s">
        <v>1</v>
      </c>
      <c r="D158" s="4">
        <v>119.23699999999999</v>
      </c>
      <c r="E158" s="4">
        <v>118.90600000000001</v>
      </c>
      <c r="F158" s="4">
        <v>118.869</v>
      </c>
      <c r="G158" s="4">
        <v>120.095</v>
      </c>
      <c r="H158" s="4">
        <v>120.321</v>
      </c>
      <c r="I158" s="4">
        <v>120.77200000000001</v>
      </c>
      <c r="J158" s="4">
        <v>118.515</v>
      </c>
      <c r="K158" s="4">
        <v>118.086</v>
      </c>
      <c r="L158" s="4">
        <v>117.069</v>
      </c>
      <c r="M158" s="4">
        <v>115.59099999999999</v>
      </c>
      <c r="N158" s="4">
        <v>114.027</v>
      </c>
    </row>
    <row r="159" spans="1:14" x14ac:dyDescent="0.35">
      <c r="A159" t="s">
        <v>172</v>
      </c>
      <c r="B159" t="s">
        <v>2</v>
      </c>
      <c r="C159" t="s">
        <v>1</v>
      </c>
      <c r="D159" s="4">
        <v>65.202699999999993</v>
      </c>
      <c r="E159" s="4">
        <v>76.980599999999995</v>
      </c>
      <c r="F159" s="4">
        <v>60.130699999999997</v>
      </c>
      <c r="G159" s="4">
        <v>72.756799999999998</v>
      </c>
      <c r="H159" s="4">
        <v>60.247799999999998</v>
      </c>
      <c r="I159" s="4">
        <v>78.076599999999999</v>
      </c>
      <c r="J159" s="4">
        <v>76.939599999999999</v>
      </c>
      <c r="K159" s="4">
        <v>73.486500000000007</v>
      </c>
      <c r="L159" s="4">
        <v>78.304000000000002</v>
      </c>
      <c r="M159" s="4">
        <v>78.305700000000002</v>
      </c>
      <c r="N159" s="4">
        <v>77.644900000000007</v>
      </c>
    </row>
    <row r="160" spans="1:14" x14ac:dyDescent="0.35">
      <c r="A160" t="s">
        <v>173</v>
      </c>
      <c r="B160" t="s">
        <v>2</v>
      </c>
      <c r="C160" t="s">
        <v>1</v>
      </c>
      <c r="D160" s="4">
        <v>78.187600000000003</v>
      </c>
      <c r="E160" s="4">
        <v>87.721500000000006</v>
      </c>
      <c r="F160" s="4">
        <v>80.686700000000002</v>
      </c>
      <c r="G160" s="4">
        <v>79.266000000000005</v>
      </c>
      <c r="H160" s="4">
        <v>86.509299999999996</v>
      </c>
      <c r="I160" s="4">
        <v>93.125600000000006</v>
      </c>
      <c r="J160" s="4">
        <v>86.369299999999996</v>
      </c>
      <c r="K160" s="4">
        <v>81.837599999999995</v>
      </c>
      <c r="L160" s="4">
        <v>96.739599999999996</v>
      </c>
      <c r="M160" s="4">
        <v>87.222399999999993</v>
      </c>
      <c r="N160" s="4">
        <v>93.123800000000003</v>
      </c>
    </row>
    <row r="161" spans="1:14" x14ac:dyDescent="0.35">
      <c r="A161" t="s">
        <v>174</v>
      </c>
      <c r="B161" t="s">
        <v>2</v>
      </c>
      <c r="C161" t="s">
        <v>1</v>
      </c>
      <c r="D161" s="4">
        <v>71.415300000000002</v>
      </c>
      <c r="E161" s="4">
        <v>84.501999999999995</v>
      </c>
      <c r="F161" s="4">
        <v>69.962699999999998</v>
      </c>
      <c r="G161" s="4">
        <v>73.572299999999998</v>
      </c>
      <c r="H161" s="4">
        <v>96.918499999999995</v>
      </c>
      <c r="I161" s="4">
        <v>122.977</v>
      </c>
      <c r="J161" s="4">
        <v>84.217200000000005</v>
      </c>
      <c r="K161" s="4">
        <v>70.944800000000001</v>
      </c>
      <c r="L161" s="4">
        <v>89.183099999999996</v>
      </c>
      <c r="M161" s="4">
        <v>88.950999999999993</v>
      </c>
      <c r="N161" s="4">
        <v>90.513800000000003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78A25-5F18-4F5A-891E-A45BA706ED91}">
  <dimension ref="A1:S161"/>
  <sheetViews>
    <sheetView tabSelected="1" topLeftCell="A126" workbookViewId="0">
      <selection activeCell="E161" sqref="E161"/>
    </sheetView>
  </sheetViews>
  <sheetFormatPr baseColWidth="10" defaultRowHeight="14.5" x14ac:dyDescent="0.35"/>
  <cols>
    <col min="1" max="1" width="7.453125" bestFit="1" customWidth="1"/>
    <col min="2" max="2" width="10.453125" bestFit="1" customWidth="1"/>
    <col min="3" max="3" width="8" bestFit="1" customWidth="1"/>
    <col min="4" max="4" width="12.36328125" bestFit="1" customWidth="1"/>
    <col min="5" max="11" width="10.81640625" bestFit="1" customWidth="1"/>
    <col min="12" max="14" width="9.81640625" bestFit="1" customWidth="1"/>
  </cols>
  <sheetData>
    <row r="1" spans="1:14" x14ac:dyDescent="0.35">
      <c r="A1" t="s">
        <v>3</v>
      </c>
      <c r="B1" t="s">
        <v>8</v>
      </c>
      <c r="C1" t="s">
        <v>0</v>
      </c>
      <c r="D1" s="2" t="s">
        <v>10</v>
      </c>
      <c r="E1" t="s">
        <v>11</v>
      </c>
      <c r="F1" t="s">
        <v>12</v>
      </c>
      <c r="G1" t="s">
        <v>13</v>
      </c>
      <c r="H1" t="s">
        <v>14</v>
      </c>
      <c r="I1" s="2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</row>
    <row r="2" spans="1:14" x14ac:dyDescent="0.35">
      <c r="A2" t="s">
        <v>21</v>
      </c>
      <c r="B2" t="s">
        <v>2</v>
      </c>
      <c r="C2" t="s">
        <v>1</v>
      </c>
      <c r="D2" s="1">
        <v>541632</v>
      </c>
      <c r="E2" s="1">
        <f>D2*1.1</f>
        <v>595795.20000000007</v>
      </c>
      <c r="F2" s="1">
        <f>D2*1.2</f>
        <v>649958.40000000002</v>
      </c>
      <c r="G2" s="1">
        <f>D2*1.4</f>
        <v>758284.79999999993</v>
      </c>
      <c r="H2" s="1">
        <f>D2*1.6</f>
        <v>866611.20000000007</v>
      </c>
      <c r="I2" s="1">
        <f>D2*1.8</f>
        <v>974937.59999999998</v>
      </c>
      <c r="J2" s="1">
        <f>D2*0.9</f>
        <v>487468.79999999999</v>
      </c>
      <c r="K2" s="1">
        <f>D2*0.8</f>
        <v>433305.60000000003</v>
      </c>
      <c r="L2" s="1">
        <f>D2*0.6</f>
        <v>324979.20000000001</v>
      </c>
      <c r="M2" s="1">
        <f>D2*0.4</f>
        <v>216652.80000000002</v>
      </c>
      <c r="N2" s="1">
        <f>D2*0.2</f>
        <v>108326.40000000001</v>
      </c>
    </row>
    <row r="3" spans="1:14" x14ac:dyDescent="0.35">
      <c r="A3" t="s">
        <v>22</v>
      </c>
      <c r="B3" t="s">
        <v>2</v>
      </c>
      <c r="C3" t="s">
        <v>1</v>
      </c>
      <c r="D3" s="1">
        <v>410592</v>
      </c>
      <c r="E3" s="1">
        <f t="shared" ref="E3:E66" si="0">D3*1.1</f>
        <v>451651.2</v>
      </c>
      <c r="F3" s="1">
        <f t="shared" ref="F3:F66" si="1">D3*1.2</f>
        <v>492710.39999999997</v>
      </c>
      <c r="G3" s="1">
        <f t="shared" ref="G3:G66" si="2">D3*1.4</f>
        <v>574828.79999999993</v>
      </c>
      <c r="H3" s="1">
        <f t="shared" ref="H3:H66" si="3">D3*1.6</f>
        <v>656947.20000000007</v>
      </c>
      <c r="I3" s="1">
        <f t="shared" ref="I3:I66" si="4">D3*1.8</f>
        <v>739065.6</v>
      </c>
      <c r="J3" s="1">
        <f t="shared" ref="J3:J66" si="5">D3*0.9</f>
        <v>369532.8</v>
      </c>
      <c r="K3" s="1">
        <f t="shared" ref="K3:K66" si="6">D3*0.8</f>
        <v>328473.60000000003</v>
      </c>
      <c r="L3" s="1">
        <f t="shared" ref="L3:L66" si="7">D3*0.6</f>
        <v>246355.19999999998</v>
      </c>
      <c r="M3" s="1">
        <f t="shared" ref="M3:M66" si="8">D3*0.4</f>
        <v>164236.80000000002</v>
      </c>
      <c r="N3" s="1">
        <f t="shared" ref="N3:N66" si="9">D3*0.2</f>
        <v>82118.400000000009</v>
      </c>
    </row>
    <row r="4" spans="1:14" x14ac:dyDescent="0.35">
      <c r="A4" t="s">
        <v>23</v>
      </c>
      <c r="B4" t="s">
        <v>2</v>
      </c>
      <c r="C4" t="s">
        <v>1</v>
      </c>
      <c r="D4" s="1">
        <v>14274624</v>
      </c>
      <c r="E4" s="1">
        <f t="shared" si="0"/>
        <v>15702086.4</v>
      </c>
      <c r="F4" s="1">
        <f t="shared" si="1"/>
        <v>17129548.800000001</v>
      </c>
      <c r="G4" s="1">
        <f t="shared" si="2"/>
        <v>19984473.599999998</v>
      </c>
      <c r="H4" s="1">
        <f t="shared" si="3"/>
        <v>22839398.400000002</v>
      </c>
      <c r="I4" s="1">
        <f t="shared" si="4"/>
        <v>25694323.199999999</v>
      </c>
      <c r="J4" s="1">
        <f t="shared" si="5"/>
        <v>12847161.6</v>
      </c>
      <c r="K4" s="1">
        <f t="shared" si="6"/>
        <v>11419699.200000001</v>
      </c>
      <c r="L4" s="1">
        <f t="shared" si="7"/>
        <v>8564774.4000000004</v>
      </c>
      <c r="M4" s="1">
        <f t="shared" si="8"/>
        <v>5709849.6000000006</v>
      </c>
      <c r="N4" s="1">
        <f t="shared" si="9"/>
        <v>2854924.8000000003</v>
      </c>
    </row>
    <row r="5" spans="1:14" x14ac:dyDescent="0.35">
      <c r="A5" t="s">
        <v>24</v>
      </c>
      <c r="B5" t="s">
        <v>2</v>
      </c>
      <c r="C5" t="s">
        <v>1</v>
      </c>
      <c r="D5" s="1">
        <v>1633632</v>
      </c>
      <c r="E5" s="1">
        <f t="shared" si="0"/>
        <v>1796995.2000000002</v>
      </c>
      <c r="F5" s="1">
        <f t="shared" si="1"/>
        <v>1960358.4</v>
      </c>
      <c r="G5" s="1">
        <f t="shared" si="2"/>
        <v>2287084.7999999998</v>
      </c>
      <c r="H5" s="1">
        <f t="shared" si="3"/>
        <v>2613811.2000000002</v>
      </c>
      <c r="I5" s="1">
        <f t="shared" si="4"/>
        <v>2940537.6</v>
      </c>
      <c r="J5" s="1">
        <f t="shared" si="5"/>
        <v>1470268.8</v>
      </c>
      <c r="K5" s="1">
        <f t="shared" si="6"/>
        <v>1306905.6000000001</v>
      </c>
      <c r="L5" s="1">
        <f t="shared" si="7"/>
        <v>980179.2</v>
      </c>
      <c r="M5" s="1">
        <f t="shared" si="8"/>
        <v>653452.80000000005</v>
      </c>
      <c r="N5" s="1">
        <f t="shared" si="9"/>
        <v>326726.40000000002</v>
      </c>
    </row>
    <row r="6" spans="1:14" x14ac:dyDescent="0.35">
      <c r="A6" t="s">
        <v>25</v>
      </c>
      <c r="B6" t="s">
        <v>2</v>
      </c>
      <c r="C6" t="s">
        <v>1</v>
      </c>
      <c r="D6">
        <v>17943744</v>
      </c>
      <c r="E6" s="1">
        <f t="shared" si="0"/>
        <v>19738118.400000002</v>
      </c>
      <c r="F6" s="1">
        <f t="shared" si="1"/>
        <v>21532492.800000001</v>
      </c>
      <c r="G6" s="1">
        <f t="shared" si="2"/>
        <v>25121241.599999998</v>
      </c>
      <c r="H6" s="1">
        <f t="shared" si="3"/>
        <v>28709990.400000002</v>
      </c>
      <c r="I6" s="1">
        <f t="shared" si="4"/>
        <v>32298739.199999999</v>
      </c>
      <c r="J6" s="1">
        <f t="shared" si="5"/>
        <v>16149369.6</v>
      </c>
      <c r="K6" s="1">
        <f t="shared" si="6"/>
        <v>14354995.200000001</v>
      </c>
      <c r="L6" s="1">
        <f t="shared" si="7"/>
        <v>10766246.4</v>
      </c>
      <c r="M6" s="1">
        <f t="shared" si="8"/>
        <v>7177497.6000000006</v>
      </c>
      <c r="N6" s="1">
        <f t="shared" si="9"/>
        <v>3588748.8000000003</v>
      </c>
    </row>
    <row r="7" spans="1:14" x14ac:dyDescent="0.35">
      <c r="A7" t="s">
        <v>26</v>
      </c>
      <c r="B7" t="s">
        <v>2</v>
      </c>
      <c r="C7" t="s">
        <v>1</v>
      </c>
      <c r="D7">
        <v>2393664</v>
      </c>
      <c r="E7" s="1">
        <f t="shared" si="0"/>
        <v>2633030.4000000004</v>
      </c>
      <c r="F7" s="1">
        <f t="shared" si="1"/>
        <v>2872396.8</v>
      </c>
      <c r="G7" s="1">
        <f t="shared" si="2"/>
        <v>3351129.5999999996</v>
      </c>
      <c r="H7" s="1">
        <f t="shared" si="3"/>
        <v>3829862.4000000004</v>
      </c>
      <c r="I7" s="1">
        <f t="shared" si="4"/>
        <v>4308595.2</v>
      </c>
      <c r="J7" s="1">
        <f t="shared" si="5"/>
        <v>2154297.6</v>
      </c>
      <c r="K7" s="1">
        <f t="shared" si="6"/>
        <v>1914931.2000000002</v>
      </c>
      <c r="L7" s="1">
        <f t="shared" si="7"/>
        <v>1436198.4</v>
      </c>
      <c r="M7" s="1">
        <f t="shared" si="8"/>
        <v>957465.60000000009</v>
      </c>
      <c r="N7" s="1">
        <f t="shared" si="9"/>
        <v>478732.80000000005</v>
      </c>
    </row>
    <row r="8" spans="1:14" x14ac:dyDescent="0.35">
      <c r="A8" t="s">
        <v>27</v>
      </c>
      <c r="B8" t="s">
        <v>2</v>
      </c>
      <c r="C8" t="s">
        <v>1</v>
      </c>
      <c r="D8">
        <v>672672</v>
      </c>
      <c r="E8" s="1">
        <f t="shared" si="0"/>
        <v>739939.20000000007</v>
      </c>
      <c r="F8" s="1">
        <f t="shared" si="1"/>
        <v>807206.40000000002</v>
      </c>
      <c r="G8" s="1">
        <f t="shared" si="2"/>
        <v>941740.79999999993</v>
      </c>
      <c r="H8" s="1">
        <f t="shared" si="3"/>
        <v>1076275.2</v>
      </c>
      <c r="I8" s="1">
        <f t="shared" si="4"/>
        <v>1210809.6000000001</v>
      </c>
      <c r="J8" s="1">
        <f t="shared" si="5"/>
        <v>605404.80000000005</v>
      </c>
      <c r="K8" s="1">
        <f t="shared" si="6"/>
        <v>538137.59999999998</v>
      </c>
      <c r="L8" s="1">
        <f t="shared" si="7"/>
        <v>403603.20000000001</v>
      </c>
      <c r="M8" s="1">
        <f t="shared" si="8"/>
        <v>269068.79999999999</v>
      </c>
      <c r="N8" s="1">
        <f t="shared" si="9"/>
        <v>134534.39999999999</v>
      </c>
    </row>
    <row r="9" spans="1:14" x14ac:dyDescent="0.35">
      <c r="A9" t="s">
        <v>28</v>
      </c>
      <c r="B9" t="s">
        <v>2</v>
      </c>
      <c r="C9" t="s">
        <v>1</v>
      </c>
      <c r="D9">
        <v>24321024</v>
      </c>
      <c r="E9" s="1">
        <f t="shared" si="0"/>
        <v>26753126.400000002</v>
      </c>
      <c r="F9" s="1">
        <f t="shared" si="1"/>
        <v>29185228.800000001</v>
      </c>
      <c r="G9" s="1">
        <f t="shared" si="2"/>
        <v>34049433.600000001</v>
      </c>
      <c r="H9" s="1">
        <f t="shared" si="3"/>
        <v>38913638.399999999</v>
      </c>
      <c r="I9" s="1">
        <f t="shared" si="4"/>
        <v>43777843.200000003</v>
      </c>
      <c r="J9" s="1">
        <f t="shared" si="5"/>
        <v>21888921.600000001</v>
      </c>
      <c r="K9" s="1">
        <f t="shared" si="6"/>
        <v>19456819.199999999</v>
      </c>
      <c r="L9" s="1">
        <f t="shared" si="7"/>
        <v>14592614.4</v>
      </c>
      <c r="M9" s="1">
        <f t="shared" si="8"/>
        <v>9728409.5999999996</v>
      </c>
      <c r="N9" s="1">
        <f t="shared" si="9"/>
        <v>4864204.7999999998</v>
      </c>
    </row>
    <row r="10" spans="1:14" x14ac:dyDescent="0.35">
      <c r="A10" t="s">
        <v>29</v>
      </c>
      <c r="B10" t="s">
        <v>2</v>
      </c>
      <c r="C10" t="s">
        <v>1</v>
      </c>
      <c r="D10">
        <v>8447712</v>
      </c>
      <c r="E10" s="1">
        <f t="shared" si="0"/>
        <v>9292483.2000000011</v>
      </c>
      <c r="F10" s="1">
        <f t="shared" si="1"/>
        <v>10137254.4</v>
      </c>
      <c r="G10" s="1">
        <f t="shared" si="2"/>
        <v>11826796.799999999</v>
      </c>
      <c r="H10" s="1">
        <f t="shared" si="3"/>
        <v>13516339.200000001</v>
      </c>
      <c r="I10" s="1">
        <f t="shared" si="4"/>
        <v>15205881.6</v>
      </c>
      <c r="J10" s="1">
        <f t="shared" si="5"/>
        <v>7602940.7999999998</v>
      </c>
      <c r="K10" s="1">
        <f t="shared" si="6"/>
        <v>6758169.6000000006</v>
      </c>
      <c r="L10" s="1">
        <f t="shared" si="7"/>
        <v>5068627.2</v>
      </c>
      <c r="M10" s="1">
        <f t="shared" si="8"/>
        <v>3379084.8000000003</v>
      </c>
      <c r="N10" s="1">
        <f t="shared" si="9"/>
        <v>1689542.4000000001</v>
      </c>
    </row>
    <row r="11" spans="1:14" x14ac:dyDescent="0.35">
      <c r="A11" t="s">
        <v>4</v>
      </c>
      <c r="B11" t="s">
        <v>2</v>
      </c>
      <c r="C11" t="s">
        <v>1</v>
      </c>
      <c r="D11">
        <v>177008832</v>
      </c>
      <c r="E11" s="1">
        <f t="shared" si="0"/>
        <v>194709715.20000002</v>
      </c>
      <c r="F11" s="1">
        <f t="shared" si="1"/>
        <v>212410598.40000001</v>
      </c>
      <c r="G11" s="1">
        <f t="shared" si="2"/>
        <v>247812364.79999998</v>
      </c>
      <c r="H11" s="1">
        <f t="shared" si="3"/>
        <v>283214131.19999999</v>
      </c>
      <c r="I11" s="1">
        <f t="shared" si="4"/>
        <v>318615897.60000002</v>
      </c>
      <c r="J11" s="1">
        <f t="shared" si="5"/>
        <v>159307948.80000001</v>
      </c>
      <c r="K11" s="1">
        <f t="shared" si="6"/>
        <v>141607065.59999999</v>
      </c>
      <c r="L11" s="1">
        <f t="shared" si="7"/>
        <v>106205299.2</v>
      </c>
      <c r="M11" s="1">
        <f t="shared" si="8"/>
        <v>70803532.799999997</v>
      </c>
      <c r="N11" s="1">
        <f t="shared" si="9"/>
        <v>35401766.399999999</v>
      </c>
    </row>
    <row r="12" spans="1:14" x14ac:dyDescent="0.35">
      <c r="A12" t="s">
        <v>7</v>
      </c>
      <c r="B12" t="s">
        <v>2</v>
      </c>
      <c r="C12" t="s">
        <v>1</v>
      </c>
      <c r="D12">
        <v>11880960</v>
      </c>
      <c r="E12" s="1">
        <f t="shared" si="0"/>
        <v>13069056.000000002</v>
      </c>
      <c r="F12" s="1">
        <f t="shared" si="1"/>
        <v>14257152</v>
      </c>
      <c r="G12" s="1">
        <f t="shared" si="2"/>
        <v>16633343.999999998</v>
      </c>
      <c r="H12" s="1">
        <f t="shared" si="3"/>
        <v>19009536</v>
      </c>
      <c r="I12" s="1">
        <f t="shared" si="4"/>
        <v>21385728</v>
      </c>
      <c r="J12" s="1">
        <f t="shared" si="5"/>
        <v>10692864</v>
      </c>
      <c r="K12" s="1">
        <f t="shared" si="6"/>
        <v>9504768</v>
      </c>
      <c r="L12" s="1">
        <f t="shared" si="7"/>
        <v>7128576</v>
      </c>
      <c r="M12" s="1">
        <f t="shared" si="8"/>
        <v>4752384</v>
      </c>
      <c r="N12" s="1">
        <f t="shared" si="9"/>
        <v>2376192</v>
      </c>
    </row>
    <row r="13" spans="1:14" x14ac:dyDescent="0.35">
      <c r="A13" t="s">
        <v>30</v>
      </c>
      <c r="B13" t="s">
        <v>2</v>
      </c>
      <c r="C13" t="s">
        <v>1</v>
      </c>
      <c r="D13">
        <v>42649152</v>
      </c>
      <c r="E13" s="1">
        <f t="shared" si="0"/>
        <v>46914067.200000003</v>
      </c>
      <c r="F13" s="1">
        <f t="shared" si="1"/>
        <v>51178982.399999999</v>
      </c>
      <c r="G13" s="1">
        <f t="shared" si="2"/>
        <v>59708812.799999997</v>
      </c>
      <c r="H13" s="1">
        <f t="shared" si="3"/>
        <v>68238643.200000003</v>
      </c>
      <c r="I13" s="1">
        <f t="shared" si="4"/>
        <v>76768473.600000009</v>
      </c>
      <c r="J13" s="1">
        <f t="shared" si="5"/>
        <v>38384236.800000004</v>
      </c>
      <c r="K13" s="1">
        <f t="shared" si="6"/>
        <v>34119321.600000001</v>
      </c>
      <c r="L13" s="1">
        <f t="shared" si="7"/>
        <v>25589491.199999999</v>
      </c>
      <c r="M13" s="1">
        <f t="shared" si="8"/>
        <v>17059660.800000001</v>
      </c>
      <c r="N13" s="1">
        <f t="shared" si="9"/>
        <v>8529830.4000000004</v>
      </c>
    </row>
    <row r="14" spans="1:14" x14ac:dyDescent="0.35">
      <c r="A14" t="s">
        <v>31</v>
      </c>
      <c r="B14" t="s">
        <v>2</v>
      </c>
      <c r="C14" t="s">
        <v>1</v>
      </c>
      <c r="D14">
        <v>1083264</v>
      </c>
      <c r="E14" s="1">
        <f t="shared" si="0"/>
        <v>1191590.4000000001</v>
      </c>
      <c r="F14" s="1">
        <f t="shared" si="1"/>
        <v>1299916.8</v>
      </c>
      <c r="G14" s="1">
        <f t="shared" si="2"/>
        <v>1516569.5999999999</v>
      </c>
      <c r="H14" s="1">
        <f t="shared" si="3"/>
        <v>1733222.4000000001</v>
      </c>
      <c r="I14" s="1">
        <f t="shared" si="4"/>
        <v>1949875.2</v>
      </c>
      <c r="J14" s="1">
        <f t="shared" si="5"/>
        <v>974937.59999999998</v>
      </c>
      <c r="K14" s="1">
        <f t="shared" si="6"/>
        <v>866611.20000000007</v>
      </c>
      <c r="L14" s="1">
        <f t="shared" si="7"/>
        <v>649958.40000000002</v>
      </c>
      <c r="M14" s="1">
        <f t="shared" si="8"/>
        <v>433305.60000000003</v>
      </c>
      <c r="N14" s="1">
        <f t="shared" si="9"/>
        <v>216652.80000000002</v>
      </c>
    </row>
    <row r="15" spans="1:14" x14ac:dyDescent="0.35">
      <c r="A15" t="s">
        <v>5</v>
      </c>
      <c r="B15" t="s">
        <v>2</v>
      </c>
      <c r="C15" t="s">
        <v>1</v>
      </c>
      <c r="D15">
        <v>8945664</v>
      </c>
      <c r="E15" s="1">
        <f t="shared" si="0"/>
        <v>9840230.4000000004</v>
      </c>
      <c r="F15" s="1">
        <f t="shared" si="1"/>
        <v>10734796.799999999</v>
      </c>
      <c r="G15" s="1">
        <f t="shared" si="2"/>
        <v>12523929.6</v>
      </c>
      <c r="H15" s="1">
        <f t="shared" si="3"/>
        <v>14313062.4</v>
      </c>
      <c r="I15" s="1">
        <f t="shared" si="4"/>
        <v>16102195.200000001</v>
      </c>
      <c r="J15" s="1">
        <f t="shared" si="5"/>
        <v>8051097.6000000006</v>
      </c>
      <c r="K15" s="1">
        <f t="shared" si="6"/>
        <v>7156531.2000000002</v>
      </c>
      <c r="L15" s="1">
        <f t="shared" si="7"/>
        <v>5367398.3999999994</v>
      </c>
      <c r="M15" s="1">
        <f t="shared" si="8"/>
        <v>3578265.6000000001</v>
      </c>
      <c r="N15" s="1">
        <f t="shared" si="9"/>
        <v>1789132.8</v>
      </c>
    </row>
    <row r="16" spans="1:14" x14ac:dyDescent="0.35">
      <c r="A16" t="s">
        <v>6</v>
      </c>
      <c r="B16" t="s">
        <v>2</v>
      </c>
      <c r="C16" t="s">
        <v>1</v>
      </c>
      <c r="D16">
        <v>87901632</v>
      </c>
      <c r="E16" s="1">
        <f t="shared" si="0"/>
        <v>96691795.200000003</v>
      </c>
      <c r="F16" s="1">
        <f t="shared" si="1"/>
        <v>105481958.39999999</v>
      </c>
      <c r="G16" s="1">
        <f t="shared" si="2"/>
        <v>123062284.8</v>
      </c>
      <c r="H16" s="1">
        <f t="shared" si="3"/>
        <v>140642611.20000002</v>
      </c>
      <c r="I16" s="1">
        <f t="shared" si="4"/>
        <v>158222937.59999999</v>
      </c>
      <c r="J16" s="1">
        <f t="shared" si="5"/>
        <v>79111468.799999997</v>
      </c>
      <c r="K16" s="1">
        <f t="shared" si="6"/>
        <v>70321305.600000009</v>
      </c>
      <c r="L16" s="1">
        <f t="shared" si="7"/>
        <v>52740979.199999996</v>
      </c>
      <c r="M16" s="1">
        <f t="shared" si="8"/>
        <v>35160652.800000004</v>
      </c>
      <c r="N16" s="1">
        <f t="shared" si="9"/>
        <v>17580326.400000002</v>
      </c>
    </row>
    <row r="17" spans="1:14" x14ac:dyDescent="0.35">
      <c r="A17" t="s">
        <v>32</v>
      </c>
      <c r="B17" t="s">
        <v>2</v>
      </c>
      <c r="C17" t="s">
        <v>1</v>
      </c>
      <c r="D17">
        <v>106832544</v>
      </c>
      <c r="E17" s="1">
        <f t="shared" si="0"/>
        <v>117515798.40000001</v>
      </c>
      <c r="F17" s="1">
        <f t="shared" si="1"/>
        <v>128199052.8</v>
      </c>
      <c r="G17" s="1">
        <f t="shared" si="2"/>
        <v>149565561.59999999</v>
      </c>
      <c r="H17" s="1">
        <f t="shared" si="3"/>
        <v>170932070.40000001</v>
      </c>
      <c r="I17" s="1">
        <f t="shared" si="4"/>
        <v>192298579.20000002</v>
      </c>
      <c r="J17" s="1">
        <f t="shared" si="5"/>
        <v>96149289.600000009</v>
      </c>
      <c r="K17" s="1">
        <f t="shared" si="6"/>
        <v>85466035.200000003</v>
      </c>
      <c r="L17" s="1">
        <f t="shared" si="7"/>
        <v>64099526.399999999</v>
      </c>
      <c r="M17" s="1">
        <f t="shared" si="8"/>
        <v>42733017.600000001</v>
      </c>
      <c r="N17" s="1">
        <f t="shared" si="9"/>
        <v>21366508.800000001</v>
      </c>
    </row>
    <row r="18" spans="1:14" x14ac:dyDescent="0.35">
      <c r="A18" t="s">
        <v>33</v>
      </c>
      <c r="B18" t="s">
        <v>2</v>
      </c>
      <c r="C18" t="s">
        <v>1</v>
      </c>
      <c r="D18">
        <v>559104</v>
      </c>
      <c r="E18" s="1">
        <f t="shared" si="0"/>
        <v>615014.40000000002</v>
      </c>
      <c r="F18" s="1">
        <f t="shared" si="1"/>
        <v>670924.79999999993</v>
      </c>
      <c r="G18" s="1">
        <f t="shared" si="2"/>
        <v>782745.59999999998</v>
      </c>
      <c r="H18" s="1">
        <f t="shared" si="3"/>
        <v>894566.40000000002</v>
      </c>
      <c r="I18" s="1">
        <f t="shared" si="4"/>
        <v>1006387.2000000001</v>
      </c>
      <c r="J18" s="1">
        <f t="shared" si="5"/>
        <v>503193.60000000003</v>
      </c>
      <c r="K18" s="1">
        <f t="shared" si="6"/>
        <v>447283.20000000001</v>
      </c>
      <c r="L18" s="1">
        <f t="shared" si="7"/>
        <v>335462.39999999997</v>
      </c>
      <c r="M18" s="1">
        <f t="shared" si="8"/>
        <v>223641.60000000001</v>
      </c>
      <c r="N18" s="1">
        <f t="shared" si="9"/>
        <v>111820.8</v>
      </c>
    </row>
    <row r="19" spans="1:14" x14ac:dyDescent="0.35">
      <c r="A19" t="s">
        <v>34</v>
      </c>
      <c r="B19" t="s">
        <v>2</v>
      </c>
      <c r="C19" t="s">
        <v>1</v>
      </c>
      <c r="D19">
        <v>6464640</v>
      </c>
      <c r="E19" s="1">
        <f t="shared" si="0"/>
        <v>7111104.0000000009</v>
      </c>
      <c r="F19" s="1">
        <f t="shared" si="1"/>
        <v>7757568</v>
      </c>
      <c r="G19" s="1">
        <f t="shared" si="2"/>
        <v>9050496</v>
      </c>
      <c r="H19" s="1">
        <f t="shared" si="3"/>
        <v>10343424</v>
      </c>
      <c r="I19" s="1">
        <f t="shared" si="4"/>
        <v>11636352</v>
      </c>
      <c r="J19" s="1">
        <f t="shared" si="5"/>
        <v>5818176</v>
      </c>
      <c r="K19" s="1">
        <f t="shared" si="6"/>
        <v>5171712</v>
      </c>
      <c r="L19" s="1">
        <f t="shared" si="7"/>
        <v>3878784</v>
      </c>
      <c r="M19" s="1">
        <f t="shared" si="8"/>
        <v>2585856</v>
      </c>
      <c r="N19" s="1">
        <f t="shared" si="9"/>
        <v>1292928</v>
      </c>
    </row>
    <row r="20" spans="1:14" x14ac:dyDescent="0.35">
      <c r="A20" t="s">
        <v>35</v>
      </c>
      <c r="B20" t="s">
        <v>2</v>
      </c>
      <c r="C20" t="s">
        <v>1</v>
      </c>
      <c r="D20">
        <v>2026752</v>
      </c>
      <c r="E20" s="1">
        <f t="shared" si="0"/>
        <v>2229427.2000000002</v>
      </c>
      <c r="F20" s="1">
        <f t="shared" si="1"/>
        <v>2432102.3999999999</v>
      </c>
      <c r="G20" s="1">
        <f t="shared" si="2"/>
        <v>2837452.7999999998</v>
      </c>
      <c r="H20" s="1">
        <f t="shared" si="3"/>
        <v>3242803.2000000002</v>
      </c>
      <c r="I20" s="1">
        <f t="shared" si="4"/>
        <v>3648153.6000000001</v>
      </c>
      <c r="J20" s="1">
        <f t="shared" si="5"/>
        <v>1824076.8</v>
      </c>
      <c r="K20" s="1">
        <f t="shared" si="6"/>
        <v>1621401.6000000001</v>
      </c>
      <c r="L20" s="1">
        <f t="shared" si="7"/>
        <v>1216051.2</v>
      </c>
      <c r="M20" s="1">
        <f t="shared" si="8"/>
        <v>810700.80000000005</v>
      </c>
      <c r="N20" s="1">
        <f t="shared" si="9"/>
        <v>405350.40000000002</v>
      </c>
    </row>
    <row r="21" spans="1:14" x14ac:dyDescent="0.35">
      <c r="A21" t="s">
        <v>36</v>
      </c>
      <c r="B21" t="s">
        <v>2</v>
      </c>
      <c r="C21" t="s">
        <v>1</v>
      </c>
      <c r="D21">
        <v>5451264</v>
      </c>
      <c r="E21" s="1">
        <f t="shared" si="0"/>
        <v>5996390.4000000004</v>
      </c>
      <c r="F21" s="1">
        <f t="shared" si="1"/>
        <v>6541516.7999999998</v>
      </c>
      <c r="G21" s="1">
        <f t="shared" si="2"/>
        <v>7631769.5999999996</v>
      </c>
      <c r="H21" s="1">
        <f t="shared" si="3"/>
        <v>8722022.4000000004</v>
      </c>
      <c r="I21" s="1">
        <f t="shared" si="4"/>
        <v>9812275.2000000011</v>
      </c>
      <c r="J21" s="1">
        <f t="shared" si="5"/>
        <v>4906137.6000000006</v>
      </c>
      <c r="K21" s="1">
        <f t="shared" si="6"/>
        <v>4361011.2000000002</v>
      </c>
      <c r="L21" s="1">
        <f t="shared" si="7"/>
        <v>3270758.3999999999</v>
      </c>
      <c r="M21" s="1">
        <f t="shared" si="8"/>
        <v>2180505.6000000001</v>
      </c>
      <c r="N21" s="1">
        <f t="shared" si="9"/>
        <v>1090252.8</v>
      </c>
    </row>
    <row r="22" spans="1:14" x14ac:dyDescent="0.35">
      <c r="A22" t="s">
        <v>37</v>
      </c>
      <c r="B22" t="s">
        <v>2</v>
      </c>
      <c r="C22" t="s">
        <v>1</v>
      </c>
      <c r="D22">
        <v>14912352</v>
      </c>
      <c r="E22" s="1">
        <f t="shared" si="0"/>
        <v>16403587.200000001</v>
      </c>
      <c r="F22" s="1">
        <f t="shared" si="1"/>
        <v>17894822.399999999</v>
      </c>
      <c r="G22" s="1">
        <f t="shared" si="2"/>
        <v>20877292.799999997</v>
      </c>
      <c r="H22" s="1">
        <f t="shared" si="3"/>
        <v>23859763.200000003</v>
      </c>
      <c r="I22" s="1">
        <f t="shared" si="4"/>
        <v>26842233.600000001</v>
      </c>
      <c r="J22" s="1">
        <f t="shared" si="5"/>
        <v>13421116.800000001</v>
      </c>
      <c r="K22" s="1">
        <f t="shared" si="6"/>
        <v>11929881.600000001</v>
      </c>
      <c r="L22" s="1">
        <f t="shared" si="7"/>
        <v>8947411.1999999993</v>
      </c>
      <c r="M22" s="1">
        <f t="shared" si="8"/>
        <v>5964940.8000000007</v>
      </c>
      <c r="N22" s="1">
        <f t="shared" si="9"/>
        <v>2982470.4000000004</v>
      </c>
    </row>
    <row r="23" spans="1:14" x14ac:dyDescent="0.35">
      <c r="A23" t="s">
        <v>38</v>
      </c>
      <c r="B23" t="s">
        <v>2</v>
      </c>
      <c r="C23" t="s">
        <v>1</v>
      </c>
      <c r="D23">
        <v>760032</v>
      </c>
      <c r="E23" s="1">
        <f t="shared" si="0"/>
        <v>836035.20000000007</v>
      </c>
      <c r="F23" s="1">
        <f t="shared" si="1"/>
        <v>912038.40000000002</v>
      </c>
      <c r="G23" s="1">
        <f t="shared" si="2"/>
        <v>1064044.8</v>
      </c>
      <c r="H23" s="1">
        <f t="shared" si="3"/>
        <v>1216051.2</v>
      </c>
      <c r="I23" s="1">
        <f t="shared" si="4"/>
        <v>1368057.6</v>
      </c>
      <c r="J23" s="1">
        <f t="shared" si="5"/>
        <v>684028.8</v>
      </c>
      <c r="K23" s="1">
        <f t="shared" si="6"/>
        <v>608025.59999999998</v>
      </c>
      <c r="L23" s="1">
        <f t="shared" si="7"/>
        <v>456019.20000000001</v>
      </c>
      <c r="M23" s="1">
        <f t="shared" si="8"/>
        <v>304012.79999999999</v>
      </c>
      <c r="N23" s="1">
        <f t="shared" si="9"/>
        <v>152006.39999999999</v>
      </c>
    </row>
    <row r="24" spans="1:14" x14ac:dyDescent="0.35">
      <c r="A24" t="s">
        <v>39</v>
      </c>
      <c r="B24" t="s">
        <v>2</v>
      </c>
      <c r="C24" t="s">
        <v>1</v>
      </c>
      <c r="D24">
        <v>62838048</v>
      </c>
      <c r="E24" s="1">
        <f t="shared" si="0"/>
        <v>69121852.800000012</v>
      </c>
      <c r="F24" s="1">
        <f t="shared" si="1"/>
        <v>75405657.599999994</v>
      </c>
      <c r="G24" s="1">
        <f t="shared" si="2"/>
        <v>87973267.199999988</v>
      </c>
      <c r="H24" s="1">
        <f t="shared" si="3"/>
        <v>100540876.80000001</v>
      </c>
      <c r="I24" s="1">
        <f t="shared" si="4"/>
        <v>113108486.40000001</v>
      </c>
      <c r="J24" s="1">
        <f t="shared" si="5"/>
        <v>56554243.200000003</v>
      </c>
      <c r="K24" s="1">
        <f t="shared" si="6"/>
        <v>50270438.400000006</v>
      </c>
      <c r="L24" s="1">
        <f t="shared" si="7"/>
        <v>37702828.799999997</v>
      </c>
      <c r="M24" s="1">
        <f t="shared" si="8"/>
        <v>25135219.200000003</v>
      </c>
      <c r="N24" s="1">
        <f t="shared" si="9"/>
        <v>12567609.600000001</v>
      </c>
    </row>
    <row r="25" spans="1:14" x14ac:dyDescent="0.35">
      <c r="A25" t="s">
        <v>40</v>
      </c>
      <c r="B25" t="s">
        <v>2</v>
      </c>
      <c r="C25" t="s">
        <v>1</v>
      </c>
      <c r="D25">
        <v>1956864</v>
      </c>
      <c r="E25" s="1">
        <f t="shared" si="0"/>
        <v>2152550.4000000004</v>
      </c>
      <c r="F25" s="1">
        <f t="shared" si="1"/>
        <v>2348236.7999999998</v>
      </c>
      <c r="G25" s="1">
        <f t="shared" si="2"/>
        <v>2739609.5999999996</v>
      </c>
      <c r="H25" s="1">
        <f t="shared" si="3"/>
        <v>3130982.4000000004</v>
      </c>
      <c r="I25" s="1">
        <f t="shared" si="4"/>
        <v>3522355.2000000002</v>
      </c>
      <c r="J25" s="1">
        <f t="shared" si="5"/>
        <v>1761177.6000000001</v>
      </c>
      <c r="K25" s="1">
        <f t="shared" si="6"/>
        <v>1565491.2000000002</v>
      </c>
      <c r="L25" s="1">
        <f t="shared" si="7"/>
        <v>1174118.3999999999</v>
      </c>
      <c r="M25" s="1">
        <f t="shared" si="8"/>
        <v>782745.60000000009</v>
      </c>
      <c r="N25" s="1">
        <f t="shared" si="9"/>
        <v>391372.80000000005</v>
      </c>
    </row>
    <row r="26" spans="1:14" x14ac:dyDescent="0.35">
      <c r="A26" t="s">
        <v>41</v>
      </c>
      <c r="B26" t="s">
        <v>2</v>
      </c>
      <c r="C26" t="s">
        <v>1</v>
      </c>
      <c r="D26">
        <v>2594592</v>
      </c>
      <c r="E26" s="1">
        <f t="shared" si="0"/>
        <v>2854051.2</v>
      </c>
      <c r="F26" s="1">
        <f t="shared" si="1"/>
        <v>3113510.4</v>
      </c>
      <c r="G26" s="1">
        <f t="shared" si="2"/>
        <v>3632428.8</v>
      </c>
      <c r="H26" s="1">
        <f t="shared" si="3"/>
        <v>4151347.2000000002</v>
      </c>
      <c r="I26" s="1">
        <f t="shared" si="4"/>
        <v>4670265.6000000006</v>
      </c>
      <c r="J26" s="1">
        <f t="shared" si="5"/>
        <v>2335132.8000000003</v>
      </c>
      <c r="K26" s="1">
        <f t="shared" si="6"/>
        <v>2075673.6000000001</v>
      </c>
      <c r="L26" s="1">
        <f t="shared" si="7"/>
        <v>1556755.2</v>
      </c>
      <c r="M26" s="1">
        <f t="shared" si="8"/>
        <v>1037836.8</v>
      </c>
      <c r="N26" s="1">
        <f t="shared" si="9"/>
        <v>518918.40000000002</v>
      </c>
    </row>
    <row r="27" spans="1:14" x14ac:dyDescent="0.35">
      <c r="A27" t="s">
        <v>42</v>
      </c>
      <c r="B27" t="s">
        <v>2</v>
      </c>
      <c r="C27" t="s">
        <v>1</v>
      </c>
      <c r="D27">
        <v>1161888</v>
      </c>
      <c r="E27" s="1">
        <f t="shared" si="0"/>
        <v>1278076.8</v>
      </c>
      <c r="F27" s="1">
        <f t="shared" si="1"/>
        <v>1394265.5999999999</v>
      </c>
      <c r="G27" s="1">
        <f t="shared" si="2"/>
        <v>1626643.2</v>
      </c>
      <c r="H27" s="1">
        <f t="shared" si="3"/>
        <v>1859020.8</v>
      </c>
      <c r="I27" s="1">
        <f t="shared" si="4"/>
        <v>2091398.4000000001</v>
      </c>
      <c r="J27" s="1">
        <f t="shared" si="5"/>
        <v>1045699.2000000001</v>
      </c>
      <c r="K27" s="1">
        <f t="shared" si="6"/>
        <v>929510.40000000002</v>
      </c>
      <c r="L27" s="1">
        <f t="shared" si="7"/>
        <v>697132.79999999993</v>
      </c>
      <c r="M27" s="1">
        <f t="shared" si="8"/>
        <v>464755.20000000001</v>
      </c>
      <c r="N27" s="1">
        <f t="shared" si="9"/>
        <v>232377.60000000001</v>
      </c>
    </row>
    <row r="28" spans="1:14" x14ac:dyDescent="0.35">
      <c r="A28" t="s">
        <v>43</v>
      </c>
      <c r="B28" t="s">
        <v>2</v>
      </c>
      <c r="C28" t="s">
        <v>1</v>
      </c>
      <c r="D28">
        <v>401856</v>
      </c>
      <c r="E28" s="1">
        <f t="shared" si="0"/>
        <v>442041.60000000003</v>
      </c>
      <c r="F28" s="1">
        <f t="shared" si="1"/>
        <v>482227.19999999995</v>
      </c>
      <c r="G28" s="1">
        <f t="shared" si="2"/>
        <v>562598.39999999991</v>
      </c>
      <c r="H28" s="1">
        <f t="shared" si="3"/>
        <v>642969.60000000009</v>
      </c>
      <c r="I28" s="1">
        <f t="shared" si="4"/>
        <v>723340.80000000005</v>
      </c>
      <c r="J28" s="1">
        <f t="shared" si="5"/>
        <v>361670.40000000002</v>
      </c>
      <c r="K28" s="1">
        <f t="shared" si="6"/>
        <v>321484.80000000005</v>
      </c>
      <c r="L28" s="1">
        <f t="shared" si="7"/>
        <v>241113.59999999998</v>
      </c>
      <c r="M28" s="1">
        <f t="shared" si="8"/>
        <v>160742.40000000002</v>
      </c>
      <c r="N28" s="1">
        <f t="shared" si="9"/>
        <v>80371.200000000012</v>
      </c>
    </row>
    <row r="29" spans="1:14" x14ac:dyDescent="0.35">
      <c r="A29" t="s">
        <v>44</v>
      </c>
      <c r="B29" t="s">
        <v>2</v>
      </c>
      <c r="C29" t="s">
        <v>1</v>
      </c>
      <c r="D29">
        <v>410592</v>
      </c>
      <c r="E29" s="1">
        <f t="shared" si="0"/>
        <v>451651.2</v>
      </c>
      <c r="F29" s="1">
        <f t="shared" si="1"/>
        <v>492710.39999999997</v>
      </c>
      <c r="G29" s="1">
        <f t="shared" si="2"/>
        <v>574828.79999999993</v>
      </c>
      <c r="H29" s="1">
        <f t="shared" si="3"/>
        <v>656947.20000000007</v>
      </c>
      <c r="I29" s="1">
        <f t="shared" si="4"/>
        <v>739065.6</v>
      </c>
      <c r="J29" s="1">
        <f t="shared" si="5"/>
        <v>369532.8</v>
      </c>
      <c r="K29" s="1">
        <f t="shared" si="6"/>
        <v>328473.60000000003</v>
      </c>
      <c r="L29" s="1">
        <f t="shared" si="7"/>
        <v>246355.19999999998</v>
      </c>
      <c r="M29" s="1">
        <f t="shared" si="8"/>
        <v>164236.80000000002</v>
      </c>
      <c r="N29" s="1">
        <f t="shared" si="9"/>
        <v>82118.400000000009</v>
      </c>
    </row>
    <row r="30" spans="1:14" x14ac:dyDescent="0.35">
      <c r="A30" t="s">
        <v>45</v>
      </c>
      <c r="B30" t="s">
        <v>2</v>
      </c>
      <c r="C30" t="s">
        <v>1</v>
      </c>
      <c r="D30">
        <v>165984</v>
      </c>
      <c r="E30" s="1">
        <f t="shared" si="0"/>
        <v>182582.40000000002</v>
      </c>
      <c r="F30" s="1">
        <f t="shared" si="1"/>
        <v>199180.79999999999</v>
      </c>
      <c r="G30" s="1">
        <f t="shared" si="2"/>
        <v>232377.59999999998</v>
      </c>
      <c r="H30" s="1">
        <f t="shared" si="3"/>
        <v>265574.40000000002</v>
      </c>
      <c r="I30" s="1">
        <f t="shared" si="4"/>
        <v>298771.20000000001</v>
      </c>
      <c r="J30" s="1">
        <f t="shared" si="5"/>
        <v>149385.60000000001</v>
      </c>
      <c r="K30" s="1">
        <f t="shared" si="6"/>
        <v>132787.20000000001</v>
      </c>
      <c r="L30" s="1">
        <f t="shared" si="7"/>
        <v>99590.399999999994</v>
      </c>
      <c r="M30" s="1">
        <f t="shared" si="8"/>
        <v>66393.600000000006</v>
      </c>
      <c r="N30" s="1">
        <f t="shared" si="9"/>
        <v>33196.800000000003</v>
      </c>
    </row>
    <row r="31" spans="1:14" x14ac:dyDescent="0.35">
      <c r="A31" t="s">
        <v>9</v>
      </c>
      <c r="B31" t="s">
        <v>2</v>
      </c>
      <c r="C31" t="s">
        <v>1</v>
      </c>
      <c r="D31">
        <v>87683232</v>
      </c>
      <c r="E31" s="1">
        <f t="shared" si="0"/>
        <v>96451555.200000003</v>
      </c>
      <c r="F31" s="1">
        <f t="shared" si="1"/>
        <v>105219878.39999999</v>
      </c>
      <c r="G31" s="1">
        <f t="shared" si="2"/>
        <v>122756524.8</v>
      </c>
      <c r="H31" s="1">
        <f t="shared" si="3"/>
        <v>140293171.20000002</v>
      </c>
      <c r="I31" s="1">
        <f t="shared" si="4"/>
        <v>157829817.59999999</v>
      </c>
      <c r="J31" s="1">
        <f t="shared" si="5"/>
        <v>78914908.799999997</v>
      </c>
      <c r="K31" s="1">
        <f t="shared" si="6"/>
        <v>70146585.600000009</v>
      </c>
      <c r="L31" s="1">
        <f t="shared" si="7"/>
        <v>52609939.199999996</v>
      </c>
      <c r="M31" s="1">
        <f t="shared" si="8"/>
        <v>35073292.800000004</v>
      </c>
      <c r="N31" s="1">
        <f t="shared" si="9"/>
        <v>17536646.400000002</v>
      </c>
    </row>
    <row r="32" spans="1:14" x14ac:dyDescent="0.35">
      <c r="A32" t="s">
        <v>46</v>
      </c>
      <c r="B32" t="s">
        <v>2</v>
      </c>
      <c r="C32" t="s">
        <v>1</v>
      </c>
      <c r="D32">
        <v>14431872</v>
      </c>
      <c r="E32" s="1">
        <f t="shared" si="0"/>
        <v>15875059.200000001</v>
      </c>
      <c r="F32" s="1">
        <f t="shared" si="1"/>
        <v>17318246.399999999</v>
      </c>
      <c r="G32" s="1">
        <f t="shared" si="2"/>
        <v>20204620.799999997</v>
      </c>
      <c r="H32" s="1">
        <f t="shared" si="3"/>
        <v>23090995.200000003</v>
      </c>
      <c r="I32" s="1">
        <f t="shared" si="4"/>
        <v>25977369.600000001</v>
      </c>
      <c r="J32" s="1">
        <f t="shared" si="5"/>
        <v>12988684.800000001</v>
      </c>
      <c r="K32" s="1">
        <f t="shared" si="6"/>
        <v>11545497.600000001</v>
      </c>
      <c r="L32" s="1">
        <f t="shared" si="7"/>
        <v>8659123.1999999993</v>
      </c>
      <c r="M32" s="1">
        <f t="shared" si="8"/>
        <v>5772748.8000000007</v>
      </c>
      <c r="N32" s="1">
        <f t="shared" si="9"/>
        <v>2886374.4000000004</v>
      </c>
    </row>
    <row r="33" spans="1:14" x14ac:dyDescent="0.35">
      <c r="A33" t="s">
        <v>47</v>
      </c>
      <c r="B33" t="s">
        <v>2</v>
      </c>
      <c r="C33" t="s">
        <v>1</v>
      </c>
      <c r="D33">
        <v>20162688</v>
      </c>
      <c r="E33" s="1">
        <f t="shared" si="0"/>
        <v>22178956.800000001</v>
      </c>
      <c r="F33" s="1">
        <f t="shared" si="1"/>
        <v>24195225.599999998</v>
      </c>
      <c r="G33" s="1">
        <f t="shared" si="2"/>
        <v>28227763.199999999</v>
      </c>
      <c r="H33" s="1">
        <f t="shared" si="3"/>
        <v>32260300.800000001</v>
      </c>
      <c r="I33" s="1">
        <f t="shared" si="4"/>
        <v>36292838.399999999</v>
      </c>
      <c r="J33" s="1">
        <f t="shared" si="5"/>
        <v>18146419.199999999</v>
      </c>
      <c r="K33" s="1">
        <f t="shared" si="6"/>
        <v>16130150.4</v>
      </c>
      <c r="L33" s="1">
        <f t="shared" si="7"/>
        <v>12097612.799999999</v>
      </c>
      <c r="M33" s="1">
        <f t="shared" si="8"/>
        <v>8065075.2000000002</v>
      </c>
      <c r="N33" s="1">
        <f t="shared" si="9"/>
        <v>4032537.6</v>
      </c>
    </row>
    <row r="34" spans="1:14" x14ac:dyDescent="0.35">
      <c r="A34" t="s">
        <v>48</v>
      </c>
      <c r="B34" t="s">
        <v>2</v>
      </c>
      <c r="C34" t="s">
        <v>1</v>
      </c>
      <c r="D34">
        <v>7469280</v>
      </c>
      <c r="E34" s="1">
        <f t="shared" si="0"/>
        <v>8216208.0000000009</v>
      </c>
      <c r="F34" s="1">
        <f t="shared" si="1"/>
        <v>8963136</v>
      </c>
      <c r="G34" s="1">
        <f t="shared" si="2"/>
        <v>10456992</v>
      </c>
      <c r="H34" s="1">
        <f t="shared" si="3"/>
        <v>11950848</v>
      </c>
      <c r="I34" s="1">
        <f t="shared" si="4"/>
        <v>13444704</v>
      </c>
      <c r="J34" s="1">
        <f t="shared" si="5"/>
        <v>6722352</v>
      </c>
      <c r="K34" s="1">
        <f t="shared" si="6"/>
        <v>5975424</v>
      </c>
      <c r="L34" s="1">
        <f t="shared" si="7"/>
        <v>4481568</v>
      </c>
      <c r="M34" s="1">
        <f t="shared" si="8"/>
        <v>2987712</v>
      </c>
      <c r="N34" s="1">
        <f t="shared" si="9"/>
        <v>1493856</v>
      </c>
    </row>
    <row r="35" spans="1:14" x14ac:dyDescent="0.35">
      <c r="A35" t="s">
        <v>49</v>
      </c>
      <c r="B35" t="s">
        <v>2</v>
      </c>
      <c r="C35" t="s">
        <v>1</v>
      </c>
      <c r="D35">
        <v>8500128</v>
      </c>
      <c r="E35" s="1">
        <f t="shared" si="0"/>
        <v>9350140.8000000007</v>
      </c>
      <c r="F35" s="1">
        <f t="shared" si="1"/>
        <v>10200153.6</v>
      </c>
      <c r="G35" s="1">
        <f t="shared" si="2"/>
        <v>11900179.199999999</v>
      </c>
      <c r="H35" s="1">
        <f t="shared" si="3"/>
        <v>13600204.800000001</v>
      </c>
      <c r="I35" s="1">
        <f t="shared" si="4"/>
        <v>15300230.4</v>
      </c>
      <c r="J35" s="1">
        <f t="shared" si="5"/>
        <v>7650115.2000000002</v>
      </c>
      <c r="K35" s="1">
        <f t="shared" si="6"/>
        <v>6800102.4000000004</v>
      </c>
      <c r="L35" s="1">
        <f t="shared" si="7"/>
        <v>5100076.8</v>
      </c>
      <c r="M35" s="1">
        <f t="shared" si="8"/>
        <v>3400051.2</v>
      </c>
      <c r="N35" s="1">
        <f t="shared" si="9"/>
        <v>1700025.6</v>
      </c>
    </row>
    <row r="36" spans="1:14" x14ac:dyDescent="0.35">
      <c r="A36" t="s">
        <v>50</v>
      </c>
      <c r="B36" t="s">
        <v>2</v>
      </c>
      <c r="C36" t="s">
        <v>1</v>
      </c>
      <c r="D36">
        <v>1886976</v>
      </c>
      <c r="E36" s="1">
        <f t="shared" si="0"/>
        <v>2075673.6000000001</v>
      </c>
      <c r="F36" s="1">
        <f t="shared" si="1"/>
        <v>2264371.1999999997</v>
      </c>
      <c r="G36" s="1">
        <f t="shared" si="2"/>
        <v>2641766.3999999999</v>
      </c>
      <c r="H36" s="1">
        <f t="shared" si="3"/>
        <v>3019161.6000000001</v>
      </c>
      <c r="I36" s="1">
        <f t="shared" si="4"/>
        <v>3396556.8000000003</v>
      </c>
      <c r="J36" s="1">
        <f t="shared" si="5"/>
        <v>1698278.4000000001</v>
      </c>
      <c r="K36" s="1">
        <f t="shared" si="6"/>
        <v>1509580.8</v>
      </c>
      <c r="L36" s="1">
        <f t="shared" si="7"/>
        <v>1132185.5999999999</v>
      </c>
      <c r="M36" s="1">
        <f t="shared" si="8"/>
        <v>754790.40000000002</v>
      </c>
      <c r="N36" s="1">
        <f t="shared" si="9"/>
        <v>377395.20000000001</v>
      </c>
    </row>
    <row r="37" spans="1:14" x14ac:dyDescent="0.35">
      <c r="A37" t="s">
        <v>51</v>
      </c>
      <c r="B37" t="s">
        <v>2</v>
      </c>
      <c r="C37" t="s">
        <v>1</v>
      </c>
      <c r="D37">
        <v>3433248</v>
      </c>
      <c r="E37" s="1">
        <f t="shared" si="0"/>
        <v>3776572.8000000003</v>
      </c>
      <c r="F37" s="1">
        <f t="shared" si="1"/>
        <v>4119897.5999999996</v>
      </c>
      <c r="G37" s="1">
        <f t="shared" si="2"/>
        <v>4806547.1999999993</v>
      </c>
      <c r="H37" s="1">
        <f t="shared" si="3"/>
        <v>5493196.8000000007</v>
      </c>
      <c r="I37" s="1">
        <f t="shared" si="4"/>
        <v>6179846.4000000004</v>
      </c>
      <c r="J37" s="1">
        <f t="shared" si="5"/>
        <v>3089923.2</v>
      </c>
      <c r="K37" s="1">
        <f t="shared" si="6"/>
        <v>2746598.4000000004</v>
      </c>
      <c r="L37" s="1">
        <f t="shared" si="7"/>
        <v>2059948.7999999998</v>
      </c>
      <c r="M37" s="1">
        <f t="shared" si="8"/>
        <v>1373299.2000000002</v>
      </c>
      <c r="N37" s="1">
        <f t="shared" si="9"/>
        <v>686649.60000000009</v>
      </c>
    </row>
    <row r="38" spans="1:14" x14ac:dyDescent="0.35">
      <c r="A38" t="s">
        <v>52</v>
      </c>
      <c r="B38" t="s">
        <v>2</v>
      </c>
      <c r="C38" t="s">
        <v>1</v>
      </c>
      <c r="D38">
        <v>1834560</v>
      </c>
      <c r="E38" s="1">
        <f t="shared" si="0"/>
        <v>2018016.0000000002</v>
      </c>
      <c r="F38" s="1">
        <f t="shared" si="1"/>
        <v>2201472</v>
      </c>
      <c r="G38" s="1">
        <f t="shared" si="2"/>
        <v>2568384</v>
      </c>
      <c r="H38" s="1">
        <f t="shared" si="3"/>
        <v>2935296</v>
      </c>
      <c r="I38" s="1">
        <f t="shared" si="4"/>
        <v>3302208</v>
      </c>
      <c r="J38" s="1">
        <f t="shared" si="5"/>
        <v>1651104</v>
      </c>
      <c r="K38" s="1">
        <f t="shared" si="6"/>
        <v>1467648</v>
      </c>
      <c r="L38" s="1">
        <f t="shared" si="7"/>
        <v>1100736</v>
      </c>
      <c r="M38" s="1">
        <f t="shared" si="8"/>
        <v>733824</v>
      </c>
      <c r="N38" s="1">
        <f t="shared" si="9"/>
        <v>366912</v>
      </c>
    </row>
    <row r="39" spans="1:14" x14ac:dyDescent="0.35">
      <c r="A39" t="s">
        <v>53</v>
      </c>
      <c r="B39" t="s">
        <v>2</v>
      </c>
      <c r="C39" t="s">
        <v>1</v>
      </c>
      <c r="D39">
        <v>18773664</v>
      </c>
      <c r="E39" s="1">
        <f t="shared" si="0"/>
        <v>20651030.400000002</v>
      </c>
      <c r="F39" s="1">
        <f t="shared" si="1"/>
        <v>22528396.800000001</v>
      </c>
      <c r="G39" s="1">
        <f t="shared" si="2"/>
        <v>26283129.599999998</v>
      </c>
      <c r="H39" s="1">
        <f t="shared" si="3"/>
        <v>30037862.400000002</v>
      </c>
      <c r="I39" s="1">
        <f t="shared" si="4"/>
        <v>33792595.200000003</v>
      </c>
      <c r="J39" s="1">
        <f t="shared" si="5"/>
        <v>16896297.600000001</v>
      </c>
      <c r="K39" s="1">
        <f t="shared" si="6"/>
        <v>15018931.200000001</v>
      </c>
      <c r="L39" s="1">
        <f t="shared" si="7"/>
        <v>11264198.4</v>
      </c>
      <c r="M39" s="1">
        <f t="shared" si="8"/>
        <v>7509465.6000000006</v>
      </c>
      <c r="N39" s="1">
        <f t="shared" si="9"/>
        <v>3754732.8000000003</v>
      </c>
    </row>
    <row r="40" spans="1:14" x14ac:dyDescent="0.35">
      <c r="A40" t="s">
        <v>54</v>
      </c>
      <c r="B40" t="s">
        <v>2</v>
      </c>
      <c r="C40" t="s">
        <v>1</v>
      </c>
      <c r="D40">
        <v>5984160</v>
      </c>
      <c r="E40" s="1">
        <f t="shared" si="0"/>
        <v>6582576.0000000009</v>
      </c>
      <c r="F40" s="1">
        <f t="shared" si="1"/>
        <v>7180992</v>
      </c>
      <c r="G40" s="1">
        <f t="shared" si="2"/>
        <v>8377823.9999999991</v>
      </c>
      <c r="H40" s="1">
        <f t="shared" si="3"/>
        <v>9574656</v>
      </c>
      <c r="I40" s="1">
        <f t="shared" si="4"/>
        <v>10771488</v>
      </c>
      <c r="J40" s="1">
        <f t="shared" si="5"/>
        <v>5385744</v>
      </c>
      <c r="K40" s="1">
        <f t="shared" si="6"/>
        <v>4787328</v>
      </c>
      <c r="L40" s="1">
        <f t="shared" si="7"/>
        <v>3590496</v>
      </c>
      <c r="M40" s="1">
        <f t="shared" si="8"/>
        <v>2393664</v>
      </c>
      <c r="N40" s="1">
        <f t="shared" si="9"/>
        <v>1196832</v>
      </c>
    </row>
    <row r="41" spans="1:14" x14ac:dyDescent="0.35">
      <c r="A41" t="s">
        <v>72</v>
      </c>
      <c r="B41" t="s">
        <v>2</v>
      </c>
      <c r="C41" t="s">
        <v>1</v>
      </c>
      <c r="D41" s="1">
        <v>37216146.240000002</v>
      </c>
      <c r="E41" s="1">
        <f t="shared" si="0"/>
        <v>40937760.864000008</v>
      </c>
      <c r="F41" s="1">
        <f t="shared" si="1"/>
        <v>44659375.487999998</v>
      </c>
      <c r="G41" s="1">
        <f t="shared" si="2"/>
        <v>52102604.736000001</v>
      </c>
      <c r="H41" s="1">
        <f t="shared" si="3"/>
        <v>59545833.984000005</v>
      </c>
      <c r="I41" s="1">
        <f t="shared" si="4"/>
        <v>66989063.232000008</v>
      </c>
      <c r="J41" s="1">
        <f t="shared" si="5"/>
        <v>33494531.616000004</v>
      </c>
      <c r="K41" s="1">
        <f t="shared" si="6"/>
        <v>29772916.992000002</v>
      </c>
      <c r="L41" s="1">
        <f t="shared" si="7"/>
        <v>22329687.743999999</v>
      </c>
      <c r="M41" s="1">
        <f t="shared" si="8"/>
        <v>14886458.496000001</v>
      </c>
      <c r="N41" s="1">
        <f t="shared" si="9"/>
        <v>7443229.2480000006</v>
      </c>
    </row>
    <row r="42" spans="1:14" x14ac:dyDescent="0.35">
      <c r="A42" t="s">
        <v>69</v>
      </c>
      <c r="B42" t="s">
        <v>2</v>
      </c>
      <c r="C42" t="s">
        <v>1</v>
      </c>
      <c r="D42" s="1">
        <v>75293137.919999987</v>
      </c>
      <c r="E42" s="1">
        <f t="shared" si="0"/>
        <v>82822451.711999997</v>
      </c>
      <c r="F42" s="1">
        <f t="shared" si="1"/>
        <v>90351765.503999978</v>
      </c>
      <c r="G42" s="1">
        <f t="shared" si="2"/>
        <v>105410393.08799997</v>
      </c>
      <c r="H42" s="1">
        <f t="shared" si="3"/>
        <v>120469020.67199999</v>
      </c>
      <c r="I42" s="1">
        <f t="shared" si="4"/>
        <v>135527648.25599998</v>
      </c>
      <c r="J42" s="1">
        <f t="shared" si="5"/>
        <v>67763824.127999991</v>
      </c>
      <c r="K42" s="1">
        <f t="shared" si="6"/>
        <v>60234510.335999995</v>
      </c>
      <c r="L42" s="1">
        <f t="shared" si="7"/>
        <v>45175882.751999989</v>
      </c>
      <c r="M42" s="1">
        <f t="shared" si="8"/>
        <v>30117255.167999998</v>
      </c>
      <c r="N42" s="1">
        <f t="shared" si="9"/>
        <v>15058627.583999999</v>
      </c>
    </row>
    <row r="43" spans="1:14" x14ac:dyDescent="0.35">
      <c r="A43" t="s">
        <v>73</v>
      </c>
      <c r="B43" t="s">
        <v>2</v>
      </c>
      <c r="C43" t="s">
        <v>1</v>
      </c>
      <c r="D43" s="1">
        <v>3059696.64</v>
      </c>
      <c r="E43" s="1">
        <f t="shared" si="0"/>
        <v>3365666.3040000005</v>
      </c>
      <c r="F43" s="1">
        <f t="shared" si="1"/>
        <v>3671635.9679999999</v>
      </c>
      <c r="G43" s="1">
        <f t="shared" si="2"/>
        <v>4283575.2960000001</v>
      </c>
      <c r="H43" s="1">
        <f t="shared" si="3"/>
        <v>4895514.6240000008</v>
      </c>
      <c r="I43" s="1">
        <f t="shared" si="4"/>
        <v>5507453.9520000005</v>
      </c>
      <c r="J43" s="1">
        <f t="shared" si="5"/>
        <v>2753726.9760000003</v>
      </c>
      <c r="K43" s="1">
        <f t="shared" si="6"/>
        <v>2447757.3120000004</v>
      </c>
      <c r="L43" s="1">
        <f t="shared" si="7"/>
        <v>1835817.9839999999</v>
      </c>
      <c r="M43" s="1">
        <f t="shared" si="8"/>
        <v>1223878.6560000002</v>
      </c>
      <c r="N43" s="1">
        <f t="shared" si="9"/>
        <v>611939.3280000001</v>
      </c>
    </row>
    <row r="44" spans="1:14" x14ac:dyDescent="0.35">
      <c r="A44" t="s">
        <v>74</v>
      </c>
      <c r="B44" t="s">
        <v>2</v>
      </c>
      <c r="C44" t="s">
        <v>1</v>
      </c>
      <c r="D44" s="1">
        <v>59697106.560000002</v>
      </c>
      <c r="E44" s="1">
        <f t="shared" si="0"/>
        <v>65666817.216000006</v>
      </c>
      <c r="F44" s="1">
        <f t="shared" si="1"/>
        <v>71636527.871999994</v>
      </c>
      <c r="G44" s="1">
        <f t="shared" si="2"/>
        <v>83575949.184</v>
      </c>
      <c r="H44" s="1">
        <f t="shared" si="3"/>
        <v>95515370.496000007</v>
      </c>
      <c r="I44" s="1">
        <f t="shared" si="4"/>
        <v>107454791.80800001</v>
      </c>
      <c r="J44" s="1">
        <f t="shared" si="5"/>
        <v>53727395.904000007</v>
      </c>
      <c r="K44" s="1">
        <f t="shared" si="6"/>
        <v>47757685.248000003</v>
      </c>
      <c r="L44" s="1">
        <f t="shared" si="7"/>
        <v>35818263.935999997</v>
      </c>
      <c r="M44" s="1">
        <f t="shared" si="8"/>
        <v>23878842.624000002</v>
      </c>
      <c r="N44" s="1">
        <f t="shared" si="9"/>
        <v>11939421.312000001</v>
      </c>
    </row>
    <row r="45" spans="1:14" x14ac:dyDescent="0.35">
      <c r="A45" t="s">
        <v>55</v>
      </c>
      <c r="B45" t="s">
        <v>2</v>
      </c>
      <c r="C45" t="s">
        <v>1</v>
      </c>
      <c r="D45" s="1">
        <v>150742300.79999998</v>
      </c>
      <c r="E45" s="1">
        <f t="shared" si="0"/>
        <v>165816530.88</v>
      </c>
      <c r="F45" s="1">
        <f t="shared" si="1"/>
        <v>180890760.95999998</v>
      </c>
      <c r="G45" s="1">
        <f t="shared" si="2"/>
        <v>211039221.11999997</v>
      </c>
      <c r="H45" s="1">
        <f t="shared" si="3"/>
        <v>241187681.27999997</v>
      </c>
      <c r="I45" s="1">
        <f t="shared" si="4"/>
        <v>271336141.44</v>
      </c>
      <c r="J45" s="1">
        <f t="shared" si="5"/>
        <v>135668070.72</v>
      </c>
      <c r="K45" s="1">
        <f t="shared" si="6"/>
        <v>120593840.63999999</v>
      </c>
      <c r="L45" s="1">
        <f t="shared" si="7"/>
        <v>90445380.479999989</v>
      </c>
      <c r="M45" s="1">
        <f t="shared" si="8"/>
        <v>60296920.319999993</v>
      </c>
      <c r="N45" s="1">
        <f t="shared" si="9"/>
        <v>30148460.159999996</v>
      </c>
    </row>
    <row r="46" spans="1:14" x14ac:dyDescent="0.35">
      <c r="A46" t="s">
        <v>75</v>
      </c>
      <c r="B46" t="s">
        <v>2</v>
      </c>
      <c r="C46" t="s">
        <v>1</v>
      </c>
      <c r="D46" s="1">
        <v>24007925.759999998</v>
      </c>
      <c r="E46" s="1">
        <f t="shared" si="0"/>
        <v>26408718.335999999</v>
      </c>
      <c r="F46" s="1">
        <f t="shared" si="1"/>
        <v>28809510.911999997</v>
      </c>
      <c r="G46" s="1">
        <f t="shared" si="2"/>
        <v>33611096.063999996</v>
      </c>
      <c r="H46" s="1">
        <f t="shared" si="3"/>
        <v>38412681.215999998</v>
      </c>
      <c r="I46" s="1">
        <f t="shared" si="4"/>
        <v>43214266.368000001</v>
      </c>
      <c r="J46" s="1">
        <f t="shared" si="5"/>
        <v>21607133.184</v>
      </c>
      <c r="K46" s="1">
        <f t="shared" si="6"/>
        <v>19206340.607999999</v>
      </c>
      <c r="L46" s="1">
        <f t="shared" si="7"/>
        <v>14404755.455999998</v>
      </c>
      <c r="M46" s="1">
        <f t="shared" si="8"/>
        <v>9603170.3039999995</v>
      </c>
      <c r="N46" s="1">
        <f t="shared" si="9"/>
        <v>4801585.1519999998</v>
      </c>
    </row>
    <row r="47" spans="1:14" x14ac:dyDescent="0.35">
      <c r="A47" t="s">
        <v>76</v>
      </c>
      <c r="B47" t="s">
        <v>2</v>
      </c>
      <c r="C47" t="s">
        <v>1</v>
      </c>
      <c r="D47" s="1">
        <v>23800707.84</v>
      </c>
      <c r="E47" s="1">
        <f t="shared" si="0"/>
        <v>26180778.624000002</v>
      </c>
      <c r="F47" s="1">
        <f t="shared" si="1"/>
        <v>28560849.408</v>
      </c>
      <c r="G47" s="1">
        <f t="shared" si="2"/>
        <v>33320990.975999996</v>
      </c>
      <c r="H47" s="1">
        <f t="shared" si="3"/>
        <v>38081132.544</v>
      </c>
      <c r="I47" s="1">
        <f t="shared" si="4"/>
        <v>42841274.112000003</v>
      </c>
      <c r="J47" s="1">
        <f t="shared" si="5"/>
        <v>21420637.056000002</v>
      </c>
      <c r="K47" s="1">
        <f t="shared" si="6"/>
        <v>19040566.272</v>
      </c>
      <c r="L47" s="1">
        <f t="shared" si="7"/>
        <v>14280424.704</v>
      </c>
      <c r="M47" s="1">
        <f t="shared" si="8"/>
        <v>9520283.1359999999</v>
      </c>
      <c r="N47" s="1">
        <f t="shared" si="9"/>
        <v>4760141.568</v>
      </c>
    </row>
    <row r="48" spans="1:14" x14ac:dyDescent="0.35">
      <c r="A48" t="s">
        <v>56</v>
      </c>
      <c r="B48" t="s">
        <v>2</v>
      </c>
      <c r="C48" t="s">
        <v>1</v>
      </c>
      <c r="D48" s="1">
        <v>4867524.4799999995</v>
      </c>
      <c r="E48" s="1">
        <f t="shared" si="0"/>
        <v>5354276.9280000003</v>
      </c>
      <c r="F48" s="1">
        <f t="shared" si="1"/>
        <v>5841029.3759999992</v>
      </c>
      <c r="G48" s="1">
        <f t="shared" si="2"/>
        <v>6814534.2719999989</v>
      </c>
      <c r="H48" s="1">
        <f t="shared" si="3"/>
        <v>7788039.1679999996</v>
      </c>
      <c r="I48" s="1">
        <f t="shared" si="4"/>
        <v>8761544.0639999993</v>
      </c>
      <c r="J48" s="1">
        <f t="shared" si="5"/>
        <v>4380772.0319999997</v>
      </c>
      <c r="K48" s="1">
        <f t="shared" si="6"/>
        <v>3894019.5839999998</v>
      </c>
      <c r="L48" s="1">
        <f t="shared" si="7"/>
        <v>2920514.6879999996</v>
      </c>
      <c r="M48" s="1">
        <f t="shared" si="8"/>
        <v>1947009.7919999999</v>
      </c>
      <c r="N48" s="1">
        <f t="shared" si="9"/>
        <v>973504.89599999995</v>
      </c>
    </row>
    <row r="49" spans="1:14" x14ac:dyDescent="0.35">
      <c r="A49" t="s">
        <v>57</v>
      </c>
      <c r="B49" t="s">
        <v>2</v>
      </c>
      <c r="C49" t="s">
        <v>1</v>
      </c>
      <c r="D49" s="1">
        <v>8128760.6399999997</v>
      </c>
      <c r="E49" s="1">
        <f t="shared" si="0"/>
        <v>8941636.7039999999</v>
      </c>
      <c r="F49" s="1">
        <f t="shared" si="1"/>
        <v>9754512.7679999992</v>
      </c>
      <c r="G49" s="1">
        <f t="shared" si="2"/>
        <v>11380264.896</v>
      </c>
      <c r="H49" s="1">
        <f t="shared" si="3"/>
        <v>13006017.024</v>
      </c>
      <c r="I49" s="1">
        <f t="shared" si="4"/>
        <v>14631769.151999999</v>
      </c>
      <c r="J49" s="1">
        <f t="shared" si="5"/>
        <v>7315884.5759999994</v>
      </c>
      <c r="K49" s="1">
        <f t="shared" si="6"/>
        <v>6503008.5120000001</v>
      </c>
      <c r="L49" s="1">
        <f t="shared" si="7"/>
        <v>4877256.3839999996</v>
      </c>
      <c r="M49" s="1">
        <f t="shared" si="8"/>
        <v>3251504.2560000001</v>
      </c>
      <c r="N49" s="1">
        <f t="shared" si="9"/>
        <v>1625752.128</v>
      </c>
    </row>
    <row r="50" spans="1:14" x14ac:dyDescent="0.35">
      <c r="A50" t="s">
        <v>58</v>
      </c>
      <c r="B50" t="s">
        <v>2</v>
      </c>
      <c r="C50" t="s">
        <v>1</v>
      </c>
      <c r="D50" s="1">
        <v>7136176.3200000003</v>
      </c>
      <c r="E50" s="1">
        <f t="shared" si="0"/>
        <v>7849793.9520000005</v>
      </c>
      <c r="F50" s="1">
        <f t="shared" si="1"/>
        <v>8563411.5840000007</v>
      </c>
      <c r="G50" s="1">
        <f t="shared" si="2"/>
        <v>9990646.8479999993</v>
      </c>
      <c r="H50" s="1">
        <f t="shared" si="3"/>
        <v>11417882.112000002</v>
      </c>
      <c r="I50" s="1">
        <f t="shared" si="4"/>
        <v>12845117.376</v>
      </c>
      <c r="J50" s="1">
        <f t="shared" si="5"/>
        <v>6422558.6880000001</v>
      </c>
      <c r="K50" s="1">
        <f t="shared" si="6"/>
        <v>5708941.0560000008</v>
      </c>
      <c r="L50" s="1">
        <f t="shared" si="7"/>
        <v>4281705.7920000004</v>
      </c>
      <c r="M50" s="1">
        <f t="shared" si="8"/>
        <v>2854470.5280000004</v>
      </c>
      <c r="N50" s="1">
        <f t="shared" si="9"/>
        <v>1427235.2640000002</v>
      </c>
    </row>
    <row r="51" spans="1:14" x14ac:dyDescent="0.35">
      <c r="A51" t="s">
        <v>77</v>
      </c>
      <c r="B51" t="s">
        <v>2</v>
      </c>
      <c r="C51" t="s">
        <v>1</v>
      </c>
      <c r="D51" s="1">
        <v>8038954.5600000005</v>
      </c>
      <c r="E51" s="1">
        <f t="shared" si="0"/>
        <v>8842850.0160000008</v>
      </c>
      <c r="F51" s="1">
        <f t="shared" si="1"/>
        <v>9646745.472000001</v>
      </c>
      <c r="G51" s="1">
        <f t="shared" si="2"/>
        <v>11254536.384</v>
      </c>
      <c r="H51" s="1">
        <f t="shared" si="3"/>
        <v>12862327.296000002</v>
      </c>
      <c r="I51" s="1">
        <f t="shared" si="4"/>
        <v>14470118.208000001</v>
      </c>
      <c r="J51" s="1">
        <f t="shared" si="5"/>
        <v>7235059.1040000003</v>
      </c>
      <c r="K51" s="1">
        <f t="shared" si="6"/>
        <v>6431163.648000001</v>
      </c>
      <c r="L51" s="1">
        <f t="shared" si="7"/>
        <v>4823372.7360000005</v>
      </c>
      <c r="M51" s="1">
        <f t="shared" si="8"/>
        <v>3215581.8240000005</v>
      </c>
      <c r="N51" s="1">
        <f t="shared" si="9"/>
        <v>1607790.9120000002</v>
      </c>
    </row>
    <row r="52" spans="1:14" x14ac:dyDescent="0.35">
      <c r="A52" t="s">
        <v>59</v>
      </c>
      <c r="B52" t="s">
        <v>2</v>
      </c>
      <c r="C52" t="s">
        <v>1</v>
      </c>
      <c r="D52" s="1">
        <v>6510940.7999999998</v>
      </c>
      <c r="E52" s="1">
        <f t="shared" si="0"/>
        <v>7162034.8800000008</v>
      </c>
      <c r="F52" s="1">
        <f t="shared" si="1"/>
        <v>7813128.959999999</v>
      </c>
      <c r="G52" s="1">
        <f t="shared" si="2"/>
        <v>9115317.1199999992</v>
      </c>
      <c r="H52" s="1">
        <f t="shared" si="3"/>
        <v>10417505.280000001</v>
      </c>
      <c r="I52" s="1">
        <f t="shared" si="4"/>
        <v>11719693.439999999</v>
      </c>
      <c r="J52" s="1">
        <f t="shared" si="5"/>
        <v>5859846.7199999997</v>
      </c>
      <c r="K52" s="1">
        <f t="shared" si="6"/>
        <v>5208752.6400000006</v>
      </c>
      <c r="L52" s="1">
        <f t="shared" si="7"/>
        <v>3906564.4799999995</v>
      </c>
      <c r="M52" s="1">
        <f t="shared" si="8"/>
        <v>2604376.3200000003</v>
      </c>
      <c r="N52" s="1">
        <f t="shared" si="9"/>
        <v>1302188.1600000001</v>
      </c>
    </row>
    <row r="53" spans="1:14" x14ac:dyDescent="0.35">
      <c r="A53" t="s">
        <v>78</v>
      </c>
      <c r="B53" t="s">
        <v>2</v>
      </c>
      <c r="C53" t="s">
        <v>1</v>
      </c>
      <c r="D53" s="1">
        <v>561025.92000000004</v>
      </c>
      <c r="E53" s="1">
        <f t="shared" si="0"/>
        <v>617128.5120000001</v>
      </c>
      <c r="F53" s="1">
        <f t="shared" si="1"/>
        <v>673231.10400000005</v>
      </c>
      <c r="G53" s="1">
        <f t="shared" si="2"/>
        <v>785436.28800000006</v>
      </c>
      <c r="H53" s="1">
        <f t="shared" si="3"/>
        <v>897641.47200000007</v>
      </c>
      <c r="I53" s="1">
        <f t="shared" si="4"/>
        <v>1009846.6560000001</v>
      </c>
      <c r="J53" s="1">
        <f t="shared" si="5"/>
        <v>504923.32800000004</v>
      </c>
      <c r="K53" s="1">
        <f t="shared" si="6"/>
        <v>448820.73600000003</v>
      </c>
      <c r="L53" s="1">
        <f t="shared" si="7"/>
        <v>336615.55200000003</v>
      </c>
      <c r="M53" s="1">
        <f t="shared" si="8"/>
        <v>224410.36800000002</v>
      </c>
      <c r="N53" s="1">
        <f t="shared" si="9"/>
        <v>112205.18400000001</v>
      </c>
    </row>
    <row r="54" spans="1:14" x14ac:dyDescent="0.35">
      <c r="A54" t="s">
        <v>60</v>
      </c>
      <c r="B54" t="s">
        <v>2</v>
      </c>
      <c r="C54" t="s">
        <v>1</v>
      </c>
      <c r="D54" s="1">
        <v>2157180.48</v>
      </c>
      <c r="E54" s="1">
        <f t="shared" si="0"/>
        <v>2372898.5280000004</v>
      </c>
      <c r="F54" s="1">
        <f t="shared" si="1"/>
        <v>2588616.5759999999</v>
      </c>
      <c r="G54" s="1">
        <f t="shared" si="2"/>
        <v>3020052.6719999998</v>
      </c>
      <c r="H54" s="1">
        <f t="shared" si="3"/>
        <v>3451488.7680000002</v>
      </c>
      <c r="I54" s="1">
        <f t="shared" si="4"/>
        <v>3882924.8640000001</v>
      </c>
      <c r="J54" s="1">
        <f t="shared" si="5"/>
        <v>1941462.432</v>
      </c>
      <c r="K54" s="1">
        <f t="shared" si="6"/>
        <v>1725744.3840000001</v>
      </c>
      <c r="L54" s="1">
        <f t="shared" si="7"/>
        <v>1294308.2879999999</v>
      </c>
      <c r="M54" s="1">
        <f t="shared" si="8"/>
        <v>862872.19200000004</v>
      </c>
      <c r="N54" s="1">
        <f t="shared" si="9"/>
        <v>431436.09600000002</v>
      </c>
    </row>
    <row r="55" spans="1:14" x14ac:dyDescent="0.35">
      <c r="A55" t="s">
        <v>61</v>
      </c>
      <c r="B55" t="s">
        <v>2</v>
      </c>
      <c r="C55" t="s">
        <v>1</v>
      </c>
      <c r="D55" s="1">
        <v>1585933.44</v>
      </c>
      <c r="E55" s="1">
        <f t="shared" si="0"/>
        <v>1744526.784</v>
      </c>
      <c r="F55" s="1">
        <f t="shared" si="1"/>
        <v>1903120.1279999998</v>
      </c>
      <c r="G55" s="1">
        <f t="shared" si="2"/>
        <v>2220306.8159999996</v>
      </c>
      <c r="H55" s="1">
        <f t="shared" si="3"/>
        <v>2537493.5040000002</v>
      </c>
      <c r="I55" s="1">
        <f t="shared" si="4"/>
        <v>2854680.1919999998</v>
      </c>
      <c r="J55" s="1">
        <f t="shared" si="5"/>
        <v>1427340.0959999999</v>
      </c>
      <c r="K55" s="1">
        <f t="shared" si="6"/>
        <v>1268746.7520000001</v>
      </c>
      <c r="L55" s="1">
        <f t="shared" si="7"/>
        <v>951560.0639999999</v>
      </c>
      <c r="M55" s="1">
        <f t="shared" si="8"/>
        <v>634373.37600000005</v>
      </c>
      <c r="N55" s="1">
        <f t="shared" si="9"/>
        <v>317186.68800000002</v>
      </c>
    </row>
    <row r="56" spans="1:14" x14ac:dyDescent="0.35">
      <c r="A56" t="s">
        <v>62</v>
      </c>
      <c r="B56" t="s">
        <v>2</v>
      </c>
      <c r="C56" t="s">
        <v>1</v>
      </c>
      <c r="D56" s="1">
        <v>1032682.5599999999</v>
      </c>
      <c r="E56" s="1">
        <f t="shared" si="0"/>
        <v>1135950.8160000001</v>
      </c>
      <c r="F56" s="1">
        <f t="shared" si="1"/>
        <v>1239219.0719999999</v>
      </c>
      <c r="G56" s="1">
        <f t="shared" si="2"/>
        <v>1445755.5839999998</v>
      </c>
      <c r="H56" s="1">
        <f t="shared" si="3"/>
        <v>1652292.0959999999</v>
      </c>
      <c r="I56" s="1">
        <f t="shared" si="4"/>
        <v>1858828.608</v>
      </c>
      <c r="J56" s="1">
        <f t="shared" si="5"/>
        <v>929414.304</v>
      </c>
      <c r="K56" s="1">
        <f t="shared" si="6"/>
        <v>826146.04799999995</v>
      </c>
      <c r="L56" s="1">
        <f t="shared" si="7"/>
        <v>619609.53599999996</v>
      </c>
      <c r="M56" s="1">
        <f t="shared" si="8"/>
        <v>413073.02399999998</v>
      </c>
      <c r="N56" s="1">
        <f t="shared" si="9"/>
        <v>206536.51199999999</v>
      </c>
    </row>
    <row r="57" spans="1:14" x14ac:dyDescent="0.35">
      <c r="A57" t="s">
        <v>63</v>
      </c>
      <c r="B57" t="s">
        <v>2</v>
      </c>
      <c r="C57" t="s">
        <v>1</v>
      </c>
      <c r="D57" s="1">
        <v>97909593.600000009</v>
      </c>
      <c r="E57" s="1">
        <f t="shared" si="0"/>
        <v>107700552.96000002</v>
      </c>
      <c r="F57" s="1">
        <f t="shared" si="1"/>
        <v>117491512.32000001</v>
      </c>
      <c r="G57" s="1">
        <f t="shared" si="2"/>
        <v>137073431.03999999</v>
      </c>
      <c r="H57" s="1">
        <f t="shared" si="3"/>
        <v>156655349.76000002</v>
      </c>
      <c r="I57" s="1">
        <f t="shared" si="4"/>
        <v>176237268.48000002</v>
      </c>
      <c r="J57" s="1">
        <f t="shared" si="5"/>
        <v>88118634.24000001</v>
      </c>
      <c r="K57" s="1">
        <f t="shared" si="6"/>
        <v>78327674.88000001</v>
      </c>
      <c r="L57" s="1">
        <f t="shared" si="7"/>
        <v>58745756.160000004</v>
      </c>
      <c r="M57" s="1">
        <f t="shared" si="8"/>
        <v>39163837.440000005</v>
      </c>
      <c r="N57" s="1">
        <f t="shared" si="9"/>
        <v>19581918.720000003</v>
      </c>
    </row>
    <row r="58" spans="1:14" x14ac:dyDescent="0.35">
      <c r="A58" t="s">
        <v>64</v>
      </c>
      <c r="B58" t="s">
        <v>2</v>
      </c>
      <c r="C58" t="s">
        <v>1</v>
      </c>
      <c r="D58" s="1">
        <v>1061074.56</v>
      </c>
      <c r="E58" s="1">
        <f t="shared" si="0"/>
        <v>1167182.0160000001</v>
      </c>
      <c r="F58" s="1">
        <f t="shared" si="1"/>
        <v>1273289.4720000001</v>
      </c>
      <c r="G58" s="1">
        <f t="shared" si="2"/>
        <v>1485504.3840000001</v>
      </c>
      <c r="H58" s="1">
        <f t="shared" si="3"/>
        <v>1697719.2960000001</v>
      </c>
      <c r="I58" s="1">
        <f t="shared" si="4"/>
        <v>1909934.2080000001</v>
      </c>
      <c r="J58" s="1">
        <f t="shared" si="5"/>
        <v>954967.10400000005</v>
      </c>
      <c r="K58" s="1">
        <f t="shared" si="6"/>
        <v>848859.64800000004</v>
      </c>
      <c r="L58" s="1">
        <f t="shared" si="7"/>
        <v>636644.73600000003</v>
      </c>
      <c r="M58" s="1">
        <f t="shared" si="8"/>
        <v>424429.82400000002</v>
      </c>
      <c r="N58" s="1">
        <f t="shared" si="9"/>
        <v>212214.91200000001</v>
      </c>
    </row>
    <row r="59" spans="1:14" x14ac:dyDescent="0.35">
      <c r="A59" t="s">
        <v>70</v>
      </c>
      <c r="B59" t="s">
        <v>2</v>
      </c>
      <c r="C59" t="s">
        <v>1</v>
      </c>
      <c r="D59" s="1">
        <v>34213495.68</v>
      </c>
      <c r="E59" s="1">
        <f t="shared" si="0"/>
        <v>37634845.248000003</v>
      </c>
      <c r="F59" s="1">
        <f t="shared" si="1"/>
        <v>41056194.816</v>
      </c>
      <c r="G59" s="1">
        <f t="shared" si="2"/>
        <v>47898893.952</v>
      </c>
      <c r="H59" s="1">
        <f t="shared" si="3"/>
        <v>54741593.088</v>
      </c>
      <c r="I59" s="1">
        <f t="shared" si="4"/>
        <v>61584292.223999999</v>
      </c>
      <c r="J59" s="1">
        <f t="shared" si="5"/>
        <v>30792146.112</v>
      </c>
      <c r="K59" s="1">
        <f t="shared" si="6"/>
        <v>27370796.544</v>
      </c>
      <c r="L59" s="1">
        <f t="shared" si="7"/>
        <v>20528097.408</v>
      </c>
      <c r="M59" s="1">
        <f t="shared" si="8"/>
        <v>13685398.272</v>
      </c>
      <c r="N59" s="1">
        <f t="shared" si="9"/>
        <v>6842699.1359999999</v>
      </c>
    </row>
    <row r="60" spans="1:14" x14ac:dyDescent="0.35">
      <c r="A60" t="s">
        <v>65</v>
      </c>
      <c r="B60" t="s">
        <v>2</v>
      </c>
      <c r="C60" t="s">
        <v>1</v>
      </c>
      <c r="D60" s="1">
        <v>4816244.1599999992</v>
      </c>
      <c r="E60" s="1">
        <f t="shared" si="0"/>
        <v>5297868.5759999994</v>
      </c>
      <c r="F60" s="1">
        <f t="shared" si="1"/>
        <v>5779492.9919999987</v>
      </c>
      <c r="G60" s="1">
        <f t="shared" si="2"/>
        <v>6742741.8239999982</v>
      </c>
      <c r="H60" s="1">
        <f t="shared" si="3"/>
        <v>7705990.6559999995</v>
      </c>
      <c r="I60" s="1">
        <f t="shared" si="4"/>
        <v>8669239.487999998</v>
      </c>
      <c r="J60" s="1">
        <f t="shared" si="5"/>
        <v>4334619.743999999</v>
      </c>
      <c r="K60" s="1">
        <f t="shared" si="6"/>
        <v>3852995.3279999997</v>
      </c>
      <c r="L60" s="1">
        <f t="shared" si="7"/>
        <v>2889746.4959999993</v>
      </c>
      <c r="M60" s="1">
        <f t="shared" si="8"/>
        <v>1926497.6639999999</v>
      </c>
      <c r="N60" s="1">
        <f t="shared" si="9"/>
        <v>963248.83199999994</v>
      </c>
    </row>
    <row r="61" spans="1:14" x14ac:dyDescent="0.35">
      <c r="A61" t="s">
        <v>79</v>
      </c>
      <c r="B61" t="s">
        <v>2</v>
      </c>
      <c r="C61" t="s">
        <v>1</v>
      </c>
      <c r="D61" s="1">
        <v>16904596.800000001</v>
      </c>
      <c r="E61" s="1">
        <f t="shared" si="0"/>
        <v>18595056.480000004</v>
      </c>
      <c r="F61" s="1">
        <f t="shared" si="1"/>
        <v>20285516.16</v>
      </c>
      <c r="G61" s="1">
        <f t="shared" si="2"/>
        <v>23666435.52</v>
      </c>
      <c r="H61" s="1">
        <f t="shared" si="3"/>
        <v>27047354.880000003</v>
      </c>
      <c r="I61" s="1">
        <f t="shared" si="4"/>
        <v>30428274.240000002</v>
      </c>
      <c r="J61" s="1">
        <f t="shared" si="5"/>
        <v>15214137.120000001</v>
      </c>
      <c r="K61" s="1">
        <f t="shared" si="6"/>
        <v>13523677.440000001</v>
      </c>
      <c r="L61" s="1">
        <f t="shared" si="7"/>
        <v>10142758.08</v>
      </c>
      <c r="M61" s="1">
        <f t="shared" si="8"/>
        <v>6761838.7200000007</v>
      </c>
      <c r="N61" s="1">
        <f t="shared" si="9"/>
        <v>3380919.3600000003</v>
      </c>
    </row>
    <row r="62" spans="1:14" x14ac:dyDescent="0.35">
      <c r="A62" t="s">
        <v>71</v>
      </c>
      <c r="B62" t="s">
        <v>2</v>
      </c>
      <c r="C62" t="s">
        <v>1</v>
      </c>
      <c r="D62" s="1">
        <v>3654094.0799999996</v>
      </c>
      <c r="E62" s="1">
        <f t="shared" si="0"/>
        <v>4019503.4879999999</v>
      </c>
      <c r="F62" s="1">
        <f t="shared" si="1"/>
        <v>4384912.8959999997</v>
      </c>
      <c r="G62" s="1">
        <f t="shared" si="2"/>
        <v>5115731.7119999994</v>
      </c>
      <c r="H62" s="1">
        <f t="shared" si="3"/>
        <v>5846550.5279999999</v>
      </c>
      <c r="I62" s="1">
        <f t="shared" si="4"/>
        <v>6577369.3439999996</v>
      </c>
      <c r="J62" s="1">
        <f t="shared" si="5"/>
        <v>3288684.6719999998</v>
      </c>
      <c r="K62" s="1">
        <f t="shared" si="6"/>
        <v>2923275.264</v>
      </c>
      <c r="L62" s="1">
        <f t="shared" si="7"/>
        <v>2192456.4479999999</v>
      </c>
      <c r="M62" s="1">
        <f t="shared" si="8"/>
        <v>1461637.632</v>
      </c>
      <c r="N62" s="1">
        <f t="shared" si="9"/>
        <v>730818.81599999999</v>
      </c>
    </row>
    <row r="63" spans="1:14" x14ac:dyDescent="0.35">
      <c r="A63" t="s">
        <v>80</v>
      </c>
      <c r="B63" t="s">
        <v>2</v>
      </c>
      <c r="C63" t="s">
        <v>1</v>
      </c>
      <c r="D63" s="1">
        <v>2952069.1200000001</v>
      </c>
      <c r="E63" s="1">
        <f t="shared" si="0"/>
        <v>3247276.0320000006</v>
      </c>
      <c r="F63" s="1">
        <f t="shared" si="1"/>
        <v>3542482.9440000001</v>
      </c>
      <c r="G63" s="1">
        <f t="shared" si="2"/>
        <v>4132896.7679999997</v>
      </c>
      <c r="H63" s="1">
        <f t="shared" si="3"/>
        <v>4723310.5920000002</v>
      </c>
      <c r="I63" s="1">
        <f t="shared" si="4"/>
        <v>5313724.4160000002</v>
      </c>
      <c r="J63" s="1">
        <f t="shared" si="5"/>
        <v>2656862.2080000001</v>
      </c>
      <c r="K63" s="1">
        <f t="shared" si="6"/>
        <v>2361655.2960000001</v>
      </c>
      <c r="L63" s="1">
        <f t="shared" si="7"/>
        <v>1771241.4720000001</v>
      </c>
      <c r="M63" s="1">
        <f t="shared" si="8"/>
        <v>1180827.648</v>
      </c>
      <c r="N63" s="1">
        <f t="shared" si="9"/>
        <v>590413.82400000002</v>
      </c>
    </row>
    <row r="64" spans="1:14" x14ac:dyDescent="0.35">
      <c r="A64" t="s">
        <v>66</v>
      </c>
      <c r="B64" t="s">
        <v>2</v>
      </c>
      <c r="C64" t="s">
        <v>1</v>
      </c>
      <c r="D64" s="1">
        <v>2175962.88</v>
      </c>
      <c r="E64" s="1">
        <f t="shared" si="0"/>
        <v>2393559.1680000001</v>
      </c>
      <c r="F64" s="1">
        <f t="shared" si="1"/>
        <v>2611155.4559999998</v>
      </c>
      <c r="G64" s="1">
        <f t="shared" si="2"/>
        <v>3046348.0319999997</v>
      </c>
      <c r="H64" s="1">
        <f t="shared" si="3"/>
        <v>3481540.608</v>
      </c>
      <c r="I64" s="1">
        <f t="shared" si="4"/>
        <v>3916733.1839999999</v>
      </c>
      <c r="J64" s="1">
        <f t="shared" si="5"/>
        <v>1958366.5919999999</v>
      </c>
      <c r="K64" s="1">
        <f t="shared" si="6"/>
        <v>1740770.304</v>
      </c>
      <c r="L64" s="1">
        <f t="shared" si="7"/>
        <v>1305577.7279999999</v>
      </c>
      <c r="M64" s="1">
        <f t="shared" si="8"/>
        <v>870385.152</v>
      </c>
      <c r="N64" s="1">
        <f t="shared" si="9"/>
        <v>435192.576</v>
      </c>
    </row>
    <row r="65" spans="1:14" x14ac:dyDescent="0.35">
      <c r="A65" t="s">
        <v>81</v>
      </c>
      <c r="B65" t="s">
        <v>2</v>
      </c>
      <c r="C65" t="s">
        <v>1</v>
      </c>
      <c r="D65" s="1">
        <v>216740.15999999997</v>
      </c>
      <c r="E65" s="1">
        <f t="shared" si="0"/>
        <v>238414.17599999998</v>
      </c>
      <c r="F65" s="1">
        <f t="shared" si="1"/>
        <v>260088.19199999995</v>
      </c>
      <c r="G65" s="1">
        <f t="shared" si="2"/>
        <v>303436.22399999993</v>
      </c>
      <c r="H65" s="1">
        <f t="shared" si="3"/>
        <v>346784.25599999999</v>
      </c>
      <c r="I65" s="1">
        <f t="shared" si="4"/>
        <v>390132.28799999994</v>
      </c>
      <c r="J65" s="1">
        <f t="shared" si="5"/>
        <v>195066.14399999997</v>
      </c>
      <c r="K65" s="1">
        <f t="shared" si="6"/>
        <v>173392.128</v>
      </c>
      <c r="L65" s="1">
        <f t="shared" si="7"/>
        <v>130044.09599999998</v>
      </c>
      <c r="M65" s="1">
        <f t="shared" si="8"/>
        <v>86696.063999999998</v>
      </c>
      <c r="N65" s="1">
        <f t="shared" si="9"/>
        <v>43348.031999999999</v>
      </c>
    </row>
    <row r="66" spans="1:14" x14ac:dyDescent="0.35">
      <c r="A66" t="s">
        <v>67</v>
      </c>
      <c r="B66" t="s">
        <v>2</v>
      </c>
      <c r="C66" t="s">
        <v>1</v>
      </c>
      <c r="D66" s="1">
        <v>1619829.1199999999</v>
      </c>
      <c r="E66" s="1">
        <f t="shared" si="0"/>
        <v>1781812.0320000001</v>
      </c>
      <c r="F66" s="1">
        <f t="shared" si="1"/>
        <v>1943794.9439999997</v>
      </c>
      <c r="G66" s="1">
        <f t="shared" si="2"/>
        <v>2267760.7679999997</v>
      </c>
      <c r="H66" s="1">
        <f t="shared" si="3"/>
        <v>2591726.5920000002</v>
      </c>
      <c r="I66" s="1">
        <f t="shared" si="4"/>
        <v>2915692.4159999997</v>
      </c>
      <c r="J66" s="1">
        <f t="shared" si="5"/>
        <v>1457846.2079999999</v>
      </c>
      <c r="K66" s="1">
        <f t="shared" si="6"/>
        <v>1295863.2960000001</v>
      </c>
      <c r="L66" s="1">
        <f t="shared" si="7"/>
        <v>971897.47199999983</v>
      </c>
      <c r="M66" s="1">
        <f t="shared" si="8"/>
        <v>647931.64800000004</v>
      </c>
      <c r="N66" s="1">
        <f t="shared" si="9"/>
        <v>323965.82400000002</v>
      </c>
    </row>
    <row r="67" spans="1:14" x14ac:dyDescent="0.35">
      <c r="A67" t="s">
        <v>82</v>
      </c>
      <c r="B67" t="s">
        <v>2</v>
      </c>
      <c r="C67" t="s">
        <v>1</v>
      </c>
      <c r="D67" s="1">
        <v>4491701.76</v>
      </c>
      <c r="E67" s="1">
        <f t="shared" ref="E67:E130" si="10">D67*1.1</f>
        <v>4940871.9359999998</v>
      </c>
      <c r="F67" s="1">
        <f t="shared" ref="F67:F130" si="11">D67*1.2</f>
        <v>5390042.1119999997</v>
      </c>
      <c r="G67" s="1">
        <f t="shared" ref="G67:G130" si="12">D67*1.4</f>
        <v>6288382.4639999997</v>
      </c>
      <c r="H67" s="1">
        <f t="shared" ref="H67:H130" si="13">D67*1.6</f>
        <v>7186722.8159999996</v>
      </c>
      <c r="I67" s="1">
        <f t="shared" ref="I67:I130" si="14">D67*1.8</f>
        <v>8085063.1679999996</v>
      </c>
      <c r="J67" s="1">
        <f t="shared" ref="J67:J130" si="15">D67*0.9</f>
        <v>4042531.5839999998</v>
      </c>
      <c r="K67" s="1">
        <f t="shared" ref="K67:K130" si="16">D67*0.8</f>
        <v>3593361.4079999998</v>
      </c>
      <c r="L67" s="1">
        <f t="shared" ref="L67:L130" si="17">D67*0.6</f>
        <v>2695021.0559999999</v>
      </c>
      <c r="M67" s="1">
        <f t="shared" ref="M67:M130" si="18">D67*0.4</f>
        <v>1796680.7039999999</v>
      </c>
      <c r="N67" s="1">
        <f t="shared" ref="N67:N130" si="19">D67*0.2</f>
        <v>898340.35199999996</v>
      </c>
    </row>
    <row r="68" spans="1:14" x14ac:dyDescent="0.35">
      <c r="A68" t="s">
        <v>68</v>
      </c>
      <c r="B68" t="s">
        <v>2</v>
      </c>
      <c r="C68" t="s">
        <v>1</v>
      </c>
      <c r="D68" s="1">
        <v>1173166176</v>
      </c>
      <c r="E68" s="1">
        <f t="shared" si="10"/>
        <v>1290482793.6000001</v>
      </c>
      <c r="F68" s="1">
        <f t="shared" si="11"/>
        <v>1407799411.2</v>
      </c>
      <c r="G68" s="1">
        <f t="shared" si="12"/>
        <v>1642432646.3999999</v>
      </c>
      <c r="H68" s="1">
        <f t="shared" si="13"/>
        <v>1877065881.6000001</v>
      </c>
      <c r="I68" s="1">
        <f t="shared" si="14"/>
        <v>2111699116.8</v>
      </c>
      <c r="J68" s="1">
        <f t="shared" si="15"/>
        <v>1055849558.4</v>
      </c>
      <c r="K68" s="1">
        <f t="shared" si="16"/>
        <v>938532940.80000007</v>
      </c>
      <c r="L68" s="1">
        <f t="shared" si="17"/>
        <v>703899705.60000002</v>
      </c>
      <c r="M68" s="1">
        <f t="shared" si="18"/>
        <v>469266470.40000004</v>
      </c>
      <c r="N68" s="1">
        <f t="shared" si="19"/>
        <v>234633235.20000002</v>
      </c>
    </row>
    <row r="69" spans="1:14" x14ac:dyDescent="0.35">
      <c r="A69" t="s">
        <v>83</v>
      </c>
      <c r="B69" t="s">
        <v>2</v>
      </c>
      <c r="C69" t="s">
        <v>1</v>
      </c>
      <c r="D69" s="1">
        <v>4327464.96</v>
      </c>
      <c r="E69" s="1">
        <f t="shared" si="10"/>
        <v>4760211.4560000002</v>
      </c>
      <c r="F69" s="1">
        <f t="shared" si="11"/>
        <v>5192957.9519999996</v>
      </c>
      <c r="G69" s="1">
        <f t="shared" si="12"/>
        <v>6058450.9439999992</v>
      </c>
      <c r="H69" s="1">
        <f t="shared" si="13"/>
        <v>6923943.9360000007</v>
      </c>
      <c r="I69" s="1">
        <f t="shared" si="14"/>
        <v>7789436.9280000003</v>
      </c>
      <c r="J69" s="1">
        <f t="shared" si="15"/>
        <v>3894718.4640000002</v>
      </c>
      <c r="K69" s="1">
        <f t="shared" si="16"/>
        <v>3461971.9680000003</v>
      </c>
      <c r="L69" s="1">
        <f t="shared" si="17"/>
        <v>2596478.9759999998</v>
      </c>
      <c r="M69" s="1">
        <f t="shared" si="18"/>
        <v>1730985.9840000002</v>
      </c>
      <c r="N69" s="1">
        <f t="shared" si="19"/>
        <v>865492.99200000009</v>
      </c>
    </row>
    <row r="70" spans="1:14" x14ac:dyDescent="0.35">
      <c r="A70" t="s">
        <v>84</v>
      </c>
      <c r="B70" t="s">
        <v>2</v>
      </c>
      <c r="C70" t="s">
        <v>1</v>
      </c>
      <c r="D70" s="1">
        <v>2753063.04</v>
      </c>
      <c r="E70" s="1">
        <f t="shared" si="10"/>
        <v>3028369.3440000005</v>
      </c>
      <c r="F70" s="1">
        <f t="shared" si="11"/>
        <v>3303675.648</v>
      </c>
      <c r="G70" s="1">
        <f t="shared" si="12"/>
        <v>3854288.2559999996</v>
      </c>
      <c r="H70" s="1">
        <f t="shared" si="13"/>
        <v>4404900.8640000001</v>
      </c>
      <c r="I70" s="1">
        <f t="shared" si="14"/>
        <v>4955513.4720000001</v>
      </c>
      <c r="J70" s="1">
        <f t="shared" si="15"/>
        <v>2477756.736</v>
      </c>
      <c r="K70" s="1">
        <f t="shared" si="16"/>
        <v>2202450.432</v>
      </c>
      <c r="L70" s="1">
        <f t="shared" si="17"/>
        <v>1651837.824</v>
      </c>
      <c r="M70" s="1">
        <f t="shared" si="18"/>
        <v>1101225.216</v>
      </c>
      <c r="N70" s="1">
        <f t="shared" si="19"/>
        <v>550612.60800000001</v>
      </c>
    </row>
    <row r="71" spans="1:14" x14ac:dyDescent="0.35">
      <c r="A71" t="s">
        <v>85</v>
      </c>
      <c r="B71" t="s">
        <v>2</v>
      </c>
      <c r="C71" t="s">
        <v>1</v>
      </c>
      <c r="D71" s="1">
        <v>49114316.160000004</v>
      </c>
      <c r="E71" s="1">
        <f t="shared" si="10"/>
        <v>54025747.776000008</v>
      </c>
      <c r="F71" s="1">
        <f t="shared" si="11"/>
        <v>58937179.392000005</v>
      </c>
      <c r="G71" s="1">
        <f t="shared" si="12"/>
        <v>68760042.623999998</v>
      </c>
      <c r="H71" s="1">
        <f t="shared" si="13"/>
        <v>78582905.856000006</v>
      </c>
      <c r="I71" s="1">
        <f t="shared" si="14"/>
        <v>88405769.088000014</v>
      </c>
      <c r="J71" s="1">
        <f t="shared" si="15"/>
        <v>44202884.544000007</v>
      </c>
      <c r="K71" s="1">
        <f t="shared" si="16"/>
        <v>39291452.928000003</v>
      </c>
      <c r="L71" s="1">
        <f t="shared" si="17"/>
        <v>29468589.696000002</v>
      </c>
      <c r="M71" s="1">
        <f t="shared" si="18"/>
        <v>19645726.464000002</v>
      </c>
      <c r="N71" s="1">
        <f t="shared" si="19"/>
        <v>9822863.2320000008</v>
      </c>
    </row>
    <row r="72" spans="1:14" x14ac:dyDescent="0.35">
      <c r="A72" t="s">
        <v>86</v>
      </c>
      <c r="B72" t="s">
        <v>2</v>
      </c>
      <c r="C72" t="s">
        <v>1</v>
      </c>
      <c r="D72" s="1">
        <v>56969465.279999994</v>
      </c>
      <c r="E72" s="1">
        <f t="shared" si="10"/>
        <v>62666411.807999998</v>
      </c>
      <c r="F72" s="1">
        <f t="shared" si="11"/>
        <v>68363358.335999995</v>
      </c>
      <c r="G72" s="1">
        <f t="shared" si="12"/>
        <v>79757251.39199999</v>
      </c>
      <c r="H72" s="1">
        <f t="shared" si="13"/>
        <v>91151144.447999999</v>
      </c>
      <c r="I72" s="1">
        <f t="shared" si="14"/>
        <v>102545037.50399999</v>
      </c>
      <c r="J72" s="1">
        <f t="shared" si="15"/>
        <v>51272518.751999997</v>
      </c>
      <c r="K72" s="1">
        <f t="shared" si="16"/>
        <v>45575572.223999999</v>
      </c>
      <c r="L72" s="1">
        <f t="shared" si="17"/>
        <v>34181679.167999998</v>
      </c>
      <c r="M72" s="1">
        <f t="shared" si="18"/>
        <v>22787786.112</v>
      </c>
      <c r="N72" s="1">
        <f t="shared" si="19"/>
        <v>11393893.056</v>
      </c>
    </row>
    <row r="73" spans="1:14" x14ac:dyDescent="0.35">
      <c r="A73" t="s">
        <v>87</v>
      </c>
      <c r="B73" t="s">
        <v>2</v>
      </c>
      <c r="C73" t="s">
        <v>1</v>
      </c>
      <c r="D73" s="1">
        <v>5319525.1199999992</v>
      </c>
      <c r="E73" s="1">
        <f t="shared" si="10"/>
        <v>5851477.6319999993</v>
      </c>
      <c r="F73" s="1">
        <f t="shared" si="11"/>
        <v>6383430.1439999985</v>
      </c>
      <c r="G73" s="1">
        <f t="shared" si="12"/>
        <v>7447335.1679999987</v>
      </c>
      <c r="H73" s="1">
        <f t="shared" si="13"/>
        <v>8511240.1919999998</v>
      </c>
      <c r="I73" s="1">
        <f t="shared" si="14"/>
        <v>9575145.2159999982</v>
      </c>
      <c r="J73" s="1">
        <f t="shared" si="15"/>
        <v>4787572.6079999991</v>
      </c>
      <c r="K73" s="1">
        <f t="shared" si="16"/>
        <v>4255620.0959999999</v>
      </c>
      <c r="L73" s="1">
        <f t="shared" si="17"/>
        <v>3191715.0719999992</v>
      </c>
      <c r="M73" s="1">
        <f t="shared" si="18"/>
        <v>2127810.048</v>
      </c>
      <c r="N73" s="1">
        <f t="shared" si="19"/>
        <v>1063905.024</v>
      </c>
    </row>
    <row r="74" spans="1:14" x14ac:dyDescent="0.35">
      <c r="A74" t="s">
        <v>88</v>
      </c>
      <c r="B74" t="s">
        <v>2</v>
      </c>
      <c r="C74" t="s">
        <v>1</v>
      </c>
      <c r="D74" s="1">
        <v>1916940.48</v>
      </c>
      <c r="E74" s="1">
        <f t="shared" si="10"/>
        <v>2108634.5279999999</v>
      </c>
      <c r="F74" s="1">
        <f t="shared" si="11"/>
        <v>2300328.5759999999</v>
      </c>
      <c r="G74" s="1">
        <f t="shared" si="12"/>
        <v>2683716.6719999998</v>
      </c>
      <c r="H74" s="1">
        <f t="shared" si="13"/>
        <v>3067104.7680000002</v>
      </c>
      <c r="I74" s="1">
        <f t="shared" si="14"/>
        <v>3450492.8640000001</v>
      </c>
      <c r="J74" s="1">
        <f t="shared" si="15"/>
        <v>1725246.432</v>
      </c>
      <c r="K74" s="1">
        <f t="shared" si="16"/>
        <v>1533552.3840000001</v>
      </c>
      <c r="L74" s="1">
        <f t="shared" si="17"/>
        <v>1150164.2879999999</v>
      </c>
      <c r="M74" s="1">
        <f t="shared" si="18"/>
        <v>766776.19200000004</v>
      </c>
      <c r="N74" s="1">
        <f t="shared" si="19"/>
        <v>383388.09600000002</v>
      </c>
    </row>
    <row r="75" spans="1:14" x14ac:dyDescent="0.35">
      <c r="A75" t="s">
        <v>89</v>
      </c>
      <c r="B75" t="s">
        <v>2</v>
      </c>
      <c r="C75" t="s">
        <v>1</v>
      </c>
      <c r="D75" s="1">
        <v>316854.72000000003</v>
      </c>
      <c r="E75" s="1">
        <f t="shared" si="10"/>
        <v>348540.19200000004</v>
      </c>
      <c r="F75" s="1">
        <f t="shared" si="11"/>
        <v>380225.66400000005</v>
      </c>
      <c r="G75" s="1">
        <f t="shared" si="12"/>
        <v>443596.60800000001</v>
      </c>
      <c r="H75" s="1">
        <f t="shared" si="13"/>
        <v>506967.55200000008</v>
      </c>
      <c r="I75" s="1">
        <f t="shared" si="14"/>
        <v>570338.49600000004</v>
      </c>
      <c r="J75" s="1">
        <f t="shared" si="15"/>
        <v>285169.24800000002</v>
      </c>
      <c r="K75" s="1">
        <f t="shared" si="16"/>
        <v>253483.77600000004</v>
      </c>
      <c r="L75" s="1">
        <f t="shared" si="17"/>
        <v>190112.83200000002</v>
      </c>
      <c r="M75" s="1">
        <f t="shared" si="18"/>
        <v>126741.88800000002</v>
      </c>
      <c r="N75" s="1">
        <f t="shared" si="19"/>
        <v>63370.94400000001</v>
      </c>
    </row>
    <row r="76" spans="1:14" x14ac:dyDescent="0.35">
      <c r="A76" t="s">
        <v>90</v>
      </c>
      <c r="B76" t="s">
        <v>2</v>
      </c>
      <c r="C76" t="s">
        <v>1</v>
      </c>
      <c r="D76" s="1">
        <v>1535919840</v>
      </c>
      <c r="E76" s="1">
        <f t="shared" si="10"/>
        <v>1689511824.0000002</v>
      </c>
      <c r="F76" s="1">
        <f t="shared" si="11"/>
        <v>1843103808</v>
      </c>
      <c r="G76" s="1">
        <f t="shared" si="12"/>
        <v>2150287776</v>
      </c>
      <c r="H76" s="1">
        <f t="shared" si="13"/>
        <v>2457471744</v>
      </c>
      <c r="I76" s="1">
        <f t="shared" si="14"/>
        <v>2764655712</v>
      </c>
      <c r="J76" s="1">
        <f t="shared" si="15"/>
        <v>1382327856</v>
      </c>
      <c r="K76" s="1">
        <f t="shared" si="16"/>
        <v>1228735872</v>
      </c>
      <c r="L76" s="1">
        <f t="shared" si="17"/>
        <v>921551904</v>
      </c>
      <c r="M76" s="1">
        <f t="shared" si="18"/>
        <v>614367936</v>
      </c>
      <c r="N76" s="1">
        <f t="shared" si="19"/>
        <v>307183968</v>
      </c>
    </row>
    <row r="77" spans="1:14" x14ac:dyDescent="0.35">
      <c r="A77" t="s">
        <v>91</v>
      </c>
      <c r="B77" t="s">
        <v>2</v>
      </c>
      <c r="C77" t="s">
        <v>1</v>
      </c>
      <c r="D77" s="1">
        <v>162327110.40000001</v>
      </c>
      <c r="E77" s="1">
        <f t="shared" si="10"/>
        <v>178559821.44000003</v>
      </c>
      <c r="F77" s="1">
        <f t="shared" si="11"/>
        <v>194792532.47999999</v>
      </c>
      <c r="G77" s="1">
        <f t="shared" si="12"/>
        <v>227257954.56</v>
      </c>
      <c r="H77" s="1">
        <f t="shared" si="13"/>
        <v>259723376.64000002</v>
      </c>
      <c r="I77" s="1">
        <f t="shared" si="14"/>
        <v>292188798.72000003</v>
      </c>
      <c r="J77" s="1">
        <f t="shared" si="15"/>
        <v>146094399.36000001</v>
      </c>
      <c r="K77" s="1">
        <f t="shared" si="16"/>
        <v>129861688.32000001</v>
      </c>
      <c r="L77" s="1">
        <f t="shared" si="17"/>
        <v>97396266.239999995</v>
      </c>
      <c r="M77" s="1">
        <f t="shared" si="18"/>
        <v>64930844.160000004</v>
      </c>
      <c r="N77" s="1">
        <f t="shared" si="19"/>
        <v>32465422.080000002</v>
      </c>
    </row>
    <row r="78" spans="1:14" x14ac:dyDescent="0.35">
      <c r="A78" t="s">
        <v>92</v>
      </c>
      <c r="B78" t="s">
        <v>2</v>
      </c>
      <c r="C78" t="s">
        <v>1</v>
      </c>
      <c r="D78" s="1">
        <v>674397360</v>
      </c>
      <c r="E78" s="1">
        <f t="shared" si="10"/>
        <v>741837096.00000012</v>
      </c>
      <c r="F78" s="1">
        <f t="shared" si="11"/>
        <v>809276832</v>
      </c>
      <c r="G78" s="1">
        <f t="shared" si="12"/>
        <v>944156303.99999988</v>
      </c>
      <c r="H78" s="1">
        <f t="shared" si="13"/>
        <v>1079035776</v>
      </c>
      <c r="I78" s="1">
        <f t="shared" si="14"/>
        <v>1213915248</v>
      </c>
      <c r="J78" s="1">
        <f t="shared" si="15"/>
        <v>606957624</v>
      </c>
      <c r="K78" s="1">
        <f t="shared" si="16"/>
        <v>539517888</v>
      </c>
      <c r="L78" s="1">
        <f t="shared" si="17"/>
        <v>404638416</v>
      </c>
      <c r="M78" s="1">
        <f t="shared" si="18"/>
        <v>269758944</v>
      </c>
      <c r="N78" s="1">
        <f t="shared" si="19"/>
        <v>134879472</v>
      </c>
    </row>
    <row r="79" spans="1:14" x14ac:dyDescent="0.35">
      <c r="A79" t="s">
        <v>93</v>
      </c>
      <c r="B79" t="s">
        <v>2</v>
      </c>
      <c r="C79" t="s">
        <v>1</v>
      </c>
      <c r="D79" s="1">
        <v>31689315.84</v>
      </c>
      <c r="E79" s="1">
        <f t="shared" si="10"/>
        <v>34858247.424000002</v>
      </c>
      <c r="F79" s="1">
        <f t="shared" si="11"/>
        <v>38027179.008000001</v>
      </c>
      <c r="G79" s="1">
        <f t="shared" si="12"/>
        <v>44365042.175999999</v>
      </c>
      <c r="H79" s="1">
        <f t="shared" si="13"/>
        <v>50702905.344000004</v>
      </c>
      <c r="I79" s="1">
        <f t="shared" si="14"/>
        <v>57040768.512000002</v>
      </c>
      <c r="J79" s="1">
        <f t="shared" si="15"/>
        <v>28520384.256000001</v>
      </c>
      <c r="K79" s="1">
        <f t="shared" si="16"/>
        <v>25351452.672000002</v>
      </c>
      <c r="L79" s="1">
        <f t="shared" si="17"/>
        <v>19013589.504000001</v>
      </c>
      <c r="M79" s="1">
        <f t="shared" si="18"/>
        <v>12675726.336000001</v>
      </c>
      <c r="N79" s="1">
        <f t="shared" si="19"/>
        <v>6337863.1680000005</v>
      </c>
    </row>
    <row r="80" spans="1:14" x14ac:dyDescent="0.35">
      <c r="A80" t="s">
        <v>94</v>
      </c>
      <c r="B80" t="s">
        <v>2</v>
      </c>
      <c r="C80" t="s">
        <v>1</v>
      </c>
      <c r="D80" s="1">
        <v>28451492.16</v>
      </c>
      <c r="E80" s="1">
        <f t="shared" si="10"/>
        <v>31296641.376000002</v>
      </c>
      <c r="F80" s="1">
        <f t="shared" si="11"/>
        <v>34141790.592</v>
      </c>
      <c r="G80" s="1">
        <f t="shared" si="12"/>
        <v>39832089.023999996</v>
      </c>
      <c r="H80" s="1">
        <f t="shared" si="13"/>
        <v>45522387.456</v>
      </c>
      <c r="I80" s="1">
        <f t="shared" si="14"/>
        <v>51212685.888000004</v>
      </c>
      <c r="J80" s="1">
        <f t="shared" si="15"/>
        <v>25606342.944000002</v>
      </c>
      <c r="K80" s="1">
        <f t="shared" si="16"/>
        <v>22761193.728</v>
      </c>
      <c r="L80" s="1">
        <f t="shared" si="17"/>
        <v>17070895.296</v>
      </c>
      <c r="M80" s="1">
        <f t="shared" si="18"/>
        <v>11380596.864</v>
      </c>
      <c r="N80" s="1">
        <f t="shared" si="19"/>
        <v>5690298.432</v>
      </c>
    </row>
    <row r="81" spans="1:14" x14ac:dyDescent="0.35">
      <c r="A81" t="s">
        <v>95</v>
      </c>
      <c r="B81" t="s">
        <v>2</v>
      </c>
      <c r="C81" t="s">
        <v>1</v>
      </c>
      <c r="D81" s="1">
        <v>65909975.040000007</v>
      </c>
      <c r="E81" s="1">
        <f t="shared" si="10"/>
        <v>72500972.544000015</v>
      </c>
      <c r="F81" s="1">
        <f t="shared" si="11"/>
        <v>79091970.048000008</v>
      </c>
      <c r="G81" s="1">
        <f t="shared" si="12"/>
        <v>92273965.056000009</v>
      </c>
      <c r="H81" s="1">
        <f t="shared" si="13"/>
        <v>105455960.06400001</v>
      </c>
      <c r="I81" s="1">
        <f t="shared" si="14"/>
        <v>118637955.07200001</v>
      </c>
      <c r="J81" s="1">
        <f t="shared" si="15"/>
        <v>59318977.536000006</v>
      </c>
      <c r="K81" s="1">
        <f t="shared" si="16"/>
        <v>52727980.032000005</v>
      </c>
      <c r="L81" s="1">
        <f t="shared" si="17"/>
        <v>39545985.024000004</v>
      </c>
      <c r="M81" s="1">
        <f t="shared" si="18"/>
        <v>26363990.016000003</v>
      </c>
      <c r="N81" s="1">
        <f t="shared" si="19"/>
        <v>13181995.008000001</v>
      </c>
    </row>
    <row r="82" spans="1:14" x14ac:dyDescent="0.35">
      <c r="A82" t="s">
        <v>96</v>
      </c>
      <c r="B82" t="s">
        <v>2</v>
      </c>
      <c r="C82" t="s">
        <v>1</v>
      </c>
      <c r="D82" s="1">
        <v>6191989.4399999995</v>
      </c>
      <c r="E82" s="1">
        <f t="shared" si="10"/>
        <v>6811188.3839999996</v>
      </c>
      <c r="F82" s="1">
        <f t="shared" si="11"/>
        <v>7430387.3279999988</v>
      </c>
      <c r="G82" s="1">
        <f t="shared" si="12"/>
        <v>8668785.2159999982</v>
      </c>
      <c r="H82" s="1">
        <f t="shared" si="13"/>
        <v>9907183.1040000003</v>
      </c>
      <c r="I82" s="1">
        <f t="shared" si="14"/>
        <v>11145580.991999999</v>
      </c>
      <c r="J82" s="1">
        <f t="shared" si="15"/>
        <v>5572790.4959999993</v>
      </c>
      <c r="K82" s="1">
        <f t="shared" si="16"/>
        <v>4953591.5520000001</v>
      </c>
      <c r="L82" s="1">
        <f t="shared" si="17"/>
        <v>3715193.6639999994</v>
      </c>
      <c r="M82" s="1">
        <f t="shared" si="18"/>
        <v>2476795.7760000001</v>
      </c>
      <c r="N82" s="1">
        <f t="shared" si="19"/>
        <v>1238397.888</v>
      </c>
    </row>
    <row r="83" spans="1:14" x14ac:dyDescent="0.35">
      <c r="A83" t="s">
        <v>97</v>
      </c>
      <c r="B83" t="s">
        <v>2</v>
      </c>
      <c r="C83" t="s">
        <v>1</v>
      </c>
      <c r="D83" s="1">
        <v>203330400</v>
      </c>
      <c r="E83" s="1">
        <f t="shared" si="10"/>
        <v>223663440.00000003</v>
      </c>
      <c r="F83" s="1">
        <f t="shared" si="11"/>
        <v>243996480</v>
      </c>
      <c r="G83" s="1">
        <f t="shared" si="12"/>
        <v>284662560</v>
      </c>
      <c r="H83" s="1">
        <f t="shared" si="13"/>
        <v>325328640</v>
      </c>
      <c r="I83" s="1">
        <f t="shared" si="14"/>
        <v>365994720</v>
      </c>
      <c r="J83" s="1">
        <f t="shared" si="15"/>
        <v>182997360</v>
      </c>
      <c r="K83" s="1">
        <f t="shared" si="16"/>
        <v>162664320</v>
      </c>
      <c r="L83" s="1">
        <f t="shared" si="17"/>
        <v>121998240</v>
      </c>
      <c r="M83" s="1">
        <f t="shared" si="18"/>
        <v>81332160</v>
      </c>
      <c r="N83" s="1">
        <f t="shared" si="19"/>
        <v>40666080</v>
      </c>
    </row>
    <row r="84" spans="1:14" x14ac:dyDescent="0.35">
      <c r="A84" t="s">
        <v>98</v>
      </c>
      <c r="B84" t="s">
        <v>2</v>
      </c>
      <c r="C84" t="s">
        <v>1</v>
      </c>
      <c r="D84" s="1">
        <v>26114612.16</v>
      </c>
      <c r="E84" s="1">
        <f t="shared" si="10"/>
        <v>28726073.376000002</v>
      </c>
      <c r="F84" s="1">
        <f t="shared" si="11"/>
        <v>31337534.592</v>
      </c>
      <c r="G84" s="1">
        <f t="shared" si="12"/>
        <v>36560457.023999996</v>
      </c>
      <c r="H84" s="1">
        <f t="shared" si="13"/>
        <v>41783379.456</v>
      </c>
      <c r="I84" s="1">
        <f t="shared" si="14"/>
        <v>47006301.888000004</v>
      </c>
      <c r="J84" s="1">
        <f t="shared" si="15"/>
        <v>23503150.944000002</v>
      </c>
      <c r="K84" s="1">
        <f t="shared" si="16"/>
        <v>20891689.728</v>
      </c>
      <c r="L84" s="1">
        <f t="shared" si="17"/>
        <v>15668767.296</v>
      </c>
      <c r="M84" s="1">
        <f t="shared" si="18"/>
        <v>10445844.864</v>
      </c>
      <c r="N84" s="1">
        <f t="shared" si="19"/>
        <v>5222922.432</v>
      </c>
    </row>
    <row r="85" spans="1:14" x14ac:dyDescent="0.35">
      <c r="A85" t="s">
        <v>99</v>
      </c>
      <c r="B85" t="s">
        <v>2</v>
      </c>
      <c r="C85" t="s">
        <v>1</v>
      </c>
      <c r="D85" s="1">
        <v>1169226.24</v>
      </c>
      <c r="E85" s="1">
        <f t="shared" si="10"/>
        <v>1286148.8640000001</v>
      </c>
      <c r="F85" s="1">
        <f t="shared" si="11"/>
        <v>1403071.4879999999</v>
      </c>
      <c r="G85" s="1">
        <f t="shared" si="12"/>
        <v>1636916.7359999998</v>
      </c>
      <c r="H85" s="1">
        <f t="shared" si="13"/>
        <v>1870761.9840000002</v>
      </c>
      <c r="I85" s="1">
        <f t="shared" si="14"/>
        <v>2104607.2319999998</v>
      </c>
      <c r="J85" s="1">
        <f t="shared" si="15"/>
        <v>1052303.6159999999</v>
      </c>
      <c r="K85" s="1">
        <f t="shared" si="16"/>
        <v>935380.99200000009</v>
      </c>
      <c r="L85" s="1">
        <f t="shared" si="17"/>
        <v>701535.74399999995</v>
      </c>
      <c r="M85" s="1">
        <f t="shared" si="18"/>
        <v>467690.49600000004</v>
      </c>
      <c r="N85" s="1">
        <f t="shared" si="19"/>
        <v>233845.24800000002</v>
      </c>
    </row>
    <row r="86" spans="1:14" x14ac:dyDescent="0.35">
      <c r="A86" t="s">
        <v>100</v>
      </c>
      <c r="B86" t="s">
        <v>2</v>
      </c>
      <c r="C86" t="s">
        <v>1</v>
      </c>
      <c r="D86" s="1">
        <v>3689824.32</v>
      </c>
      <c r="E86" s="1">
        <f t="shared" si="10"/>
        <v>4058806.7520000003</v>
      </c>
      <c r="F86" s="1">
        <f t="shared" si="11"/>
        <v>4427789.1839999994</v>
      </c>
      <c r="G86" s="1">
        <f t="shared" si="12"/>
        <v>5165754.0479999995</v>
      </c>
      <c r="H86" s="1">
        <f t="shared" si="13"/>
        <v>5903718.9120000005</v>
      </c>
      <c r="I86" s="1">
        <f t="shared" si="14"/>
        <v>6641683.7759999996</v>
      </c>
      <c r="J86" s="1">
        <f t="shared" si="15"/>
        <v>3320841.8879999998</v>
      </c>
      <c r="K86" s="1">
        <f t="shared" si="16"/>
        <v>2951859.4560000002</v>
      </c>
      <c r="L86" s="1">
        <f t="shared" si="17"/>
        <v>2213894.5919999997</v>
      </c>
      <c r="M86" s="1">
        <f t="shared" si="18"/>
        <v>1475929.7280000001</v>
      </c>
      <c r="N86" s="1">
        <f t="shared" si="19"/>
        <v>737964.86400000006</v>
      </c>
    </row>
    <row r="87" spans="1:14" x14ac:dyDescent="0.35">
      <c r="A87" t="s">
        <v>101</v>
      </c>
      <c r="B87" t="s">
        <v>2</v>
      </c>
      <c r="C87" t="s">
        <v>1</v>
      </c>
      <c r="D87" s="1">
        <v>246145536</v>
      </c>
      <c r="E87" s="1">
        <f t="shared" si="10"/>
        <v>270760089.60000002</v>
      </c>
      <c r="F87" s="1">
        <f t="shared" si="11"/>
        <v>295374643.19999999</v>
      </c>
      <c r="G87" s="1">
        <f t="shared" si="12"/>
        <v>344603750.39999998</v>
      </c>
      <c r="H87" s="1">
        <f t="shared" si="13"/>
        <v>393832857.60000002</v>
      </c>
      <c r="I87" s="1">
        <f t="shared" si="14"/>
        <v>443061964.80000001</v>
      </c>
      <c r="J87" s="1">
        <f t="shared" si="15"/>
        <v>221530982.40000001</v>
      </c>
      <c r="K87" s="1">
        <f t="shared" si="16"/>
        <v>196916428.80000001</v>
      </c>
      <c r="L87" s="1">
        <f t="shared" si="17"/>
        <v>147687321.59999999</v>
      </c>
      <c r="M87" s="1">
        <f t="shared" si="18"/>
        <v>98458214.400000006</v>
      </c>
      <c r="N87" s="1">
        <f t="shared" si="19"/>
        <v>49229107.200000003</v>
      </c>
    </row>
    <row r="88" spans="1:14" x14ac:dyDescent="0.35">
      <c r="A88" t="s">
        <v>102</v>
      </c>
      <c r="B88" t="s">
        <v>2</v>
      </c>
      <c r="C88" t="s">
        <v>1</v>
      </c>
      <c r="D88" s="1">
        <v>14501585.279999999</v>
      </c>
      <c r="E88" s="1">
        <f t="shared" si="10"/>
        <v>15951743.808</v>
      </c>
      <c r="F88" s="1">
        <f t="shared" si="11"/>
        <v>17401902.335999999</v>
      </c>
      <c r="G88" s="1">
        <f t="shared" si="12"/>
        <v>20302219.391999997</v>
      </c>
      <c r="H88" s="1">
        <f t="shared" si="13"/>
        <v>23202536.447999999</v>
      </c>
      <c r="I88" s="1">
        <f t="shared" si="14"/>
        <v>26102853.504000001</v>
      </c>
      <c r="J88" s="1">
        <f t="shared" si="15"/>
        <v>13051426.752</v>
      </c>
      <c r="K88" s="1">
        <f t="shared" si="16"/>
        <v>11601268.223999999</v>
      </c>
      <c r="L88" s="1">
        <f t="shared" si="17"/>
        <v>8700951.1679999996</v>
      </c>
      <c r="M88" s="1">
        <f t="shared" si="18"/>
        <v>5800634.1119999997</v>
      </c>
      <c r="N88" s="1">
        <f t="shared" si="19"/>
        <v>2900317.0559999999</v>
      </c>
    </row>
    <row r="89" spans="1:14" x14ac:dyDescent="0.35">
      <c r="A89" t="s">
        <v>103</v>
      </c>
      <c r="B89" t="s">
        <v>2</v>
      </c>
      <c r="C89" t="s">
        <v>1</v>
      </c>
      <c r="D89" s="1">
        <v>2576683.1999999997</v>
      </c>
      <c r="E89" s="1">
        <f t="shared" si="10"/>
        <v>2834351.52</v>
      </c>
      <c r="F89" s="1">
        <f t="shared" si="11"/>
        <v>3092019.8399999994</v>
      </c>
      <c r="G89" s="1">
        <f t="shared" si="12"/>
        <v>3607356.4799999995</v>
      </c>
      <c r="H89" s="1">
        <f t="shared" si="13"/>
        <v>4122693.1199999996</v>
      </c>
      <c r="I89" s="1">
        <f t="shared" si="14"/>
        <v>4638029.76</v>
      </c>
      <c r="J89" s="1">
        <f t="shared" si="15"/>
        <v>2319014.88</v>
      </c>
      <c r="K89" s="1">
        <f t="shared" si="16"/>
        <v>2061346.5599999998</v>
      </c>
      <c r="L89" s="1">
        <f t="shared" si="17"/>
        <v>1546009.9199999997</v>
      </c>
      <c r="M89" s="1">
        <f t="shared" si="18"/>
        <v>1030673.2799999999</v>
      </c>
      <c r="N89" s="1">
        <f t="shared" si="19"/>
        <v>515336.63999999996</v>
      </c>
    </row>
    <row r="90" spans="1:14" x14ac:dyDescent="0.35">
      <c r="A90" t="s">
        <v>104</v>
      </c>
      <c r="B90" t="s">
        <v>2</v>
      </c>
      <c r="C90" t="s">
        <v>1</v>
      </c>
      <c r="D90" s="1">
        <v>2473947.84</v>
      </c>
      <c r="E90" s="1">
        <f t="shared" si="10"/>
        <v>2721342.6239999998</v>
      </c>
      <c r="F90" s="1">
        <f t="shared" si="11"/>
        <v>2968737.4079999998</v>
      </c>
      <c r="G90" s="1">
        <f t="shared" si="12"/>
        <v>3463526.9759999998</v>
      </c>
      <c r="H90" s="1">
        <f t="shared" si="13"/>
        <v>3958316.5439999998</v>
      </c>
      <c r="I90" s="1">
        <f t="shared" si="14"/>
        <v>4453106.1119999997</v>
      </c>
      <c r="J90" s="1">
        <f t="shared" si="15"/>
        <v>2226553.0559999999</v>
      </c>
      <c r="K90" s="1">
        <f t="shared" si="16"/>
        <v>1979158.2719999999</v>
      </c>
      <c r="L90" s="1">
        <f t="shared" si="17"/>
        <v>1484368.7039999999</v>
      </c>
      <c r="M90" s="1">
        <f t="shared" si="18"/>
        <v>989579.13599999994</v>
      </c>
      <c r="N90" s="1">
        <f t="shared" si="19"/>
        <v>494789.56799999997</v>
      </c>
    </row>
    <row r="91" spans="1:14" x14ac:dyDescent="0.35">
      <c r="A91" t="s">
        <v>105</v>
      </c>
      <c r="B91" t="s">
        <v>2</v>
      </c>
      <c r="C91" t="s">
        <v>1</v>
      </c>
      <c r="D91" s="1">
        <v>11567162.879999999</v>
      </c>
      <c r="E91" s="1">
        <f t="shared" si="10"/>
        <v>12723879.168</v>
      </c>
      <c r="F91" s="1">
        <f t="shared" si="11"/>
        <v>13880595.455999998</v>
      </c>
      <c r="G91" s="1">
        <f t="shared" si="12"/>
        <v>16194028.031999998</v>
      </c>
      <c r="H91" s="1">
        <f t="shared" si="13"/>
        <v>18507460.607999999</v>
      </c>
      <c r="I91" s="1">
        <f t="shared" si="14"/>
        <v>20820893.184</v>
      </c>
      <c r="J91" s="1">
        <f t="shared" si="15"/>
        <v>10410446.592</v>
      </c>
      <c r="K91" s="1">
        <f t="shared" si="16"/>
        <v>9253730.3039999995</v>
      </c>
      <c r="L91" s="1">
        <f t="shared" si="17"/>
        <v>6940297.7279999992</v>
      </c>
      <c r="M91" s="1">
        <f t="shared" si="18"/>
        <v>4626865.1519999998</v>
      </c>
      <c r="N91" s="1">
        <f t="shared" si="19"/>
        <v>2313432.5759999999</v>
      </c>
    </row>
    <row r="92" spans="1:14" x14ac:dyDescent="0.35">
      <c r="A92" t="s">
        <v>106</v>
      </c>
      <c r="B92" t="s">
        <v>2</v>
      </c>
      <c r="C92" t="s">
        <v>1</v>
      </c>
      <c r="D92" s="1">
        <v>8905128.9600000009</v>
      </c>
      <c r="E92" s="1">
        <f t="shared" si="10"/>
        <v>9795641.8560000025</v>
      </c>
      <c r="F92" s="1">
        <f t="shared" si="11"/>
        <v>10686154.752</v>
      </c>
      <c r="G92" s="1">
        <f t="shared" si="12"/>
        <v>12467180.544</v>
      </c>
      <c r="H92" s="1">
        <f t="shared" si="13"/>
        <v>14248206.336000003</v>
      </c>
      <c r="I92" s="1">
        <f t="shared" si="14"/>
        <v>16029232.128000002</v>
      </c>
      <c r="J92" s="1">
        <f t="shared" si="15"/>
        <v>8014616.0640000012</v>
      </c>
      <c r="K92" s="1">
        <f t="shared" si="16"/>
        <v>7124103.1680000015</v>
      </c>
      <c r="L92" s="1">
        <f t="shared" si="17"/>
        <v>5343077.3760000002</v>
      </c>
      <c r="M92" s="1">
        <f t="shared" si="18"/>
        <v>3562051.5840000007</v>
      </c>
      <c r="N92" s="1">
        <f t="shared" si="19"/>
        <v>1781025.7920000004</v>
      </c>
    </row>
    <row r="93" spans="1:14" x14ac:dyDescent="0.35">
      <c r="A93" t="s">
        <v>107</v>
      </c>
      <c r="B93" t="s">
        <v>2</v>
      </c>
      <c r="C93" t="s">
        <v>1</v>
      </c>
      <c r="D93" s="1">
        <v>2066326.08</v>
      </c>
      <c r="E93" s="1">
        <f t="shared" si="10"/>
        <v>2272958.6880000001</v>
      </c>
      <c r="F93" s="1">
        <f t="shared" si="11"/>
        <v>2479591.2960000001</v>
      </c>
      <c r="G93" s="1">
        <f t="shared" si="12"/>
        <v>2892856.5120000001</v>
      </c>
      <c r="H93" s="1">
        <f t="shared" si="13"/>
        <v>3306121.7280000001</v>
      </c>
      <c r="I93" s="1">
        <f t="shared" si="14"/>
        <v>3719386.9440000001</v>
      </c>
      <c r="J93" s="1">
        <f t="shared" si="15"/>
        <v>1859693.4720000001</v>
      </c>
      <c r="K93" s="1">
        <f t="shared" si="16"/>
        <v>1653060.8640000001</v>
      </c>
      <c r="L93" s="1">
        <f t="shared" si="17"/>
        <v>1239795.648</v>
      </c>
      <c r="M93" s="1">
        <f t="shared" si="18"/>
        <v>826530.43200000003</v>
      </c>
      <c r="N93" s="1">
        <f t="shared" si="19"/>
        <v>413265.21600000001</v>
      </c>
    </row>
    <row r="94" spans="1:14" x14ac:dyDescent="0.35">
      <c r="A94" t="s">
        <v>108</v>
      </c>
      <c r="B94" t="s">
        <v>2</v>
      </c>
      <c r="C94" t="s">
        <v>1</v>
      </c>
      <c r="D94" s="1">
        <v>51007407.359999999</v>
      </c>
      <c r="E94" s="1">
        <f t="shared" si="10"/>
        <v>56108148.096000001</v>
      </c>
      <c r="F94" s="1">
        <f t="shared" si="11"/>
        <v>61208888.831999995</v>
      </c>
      <c r="G94" s="1">
        <f t="shared" si="12"/>
        <v>71410370.30399999</v>
      </c>
      <c r="H94" s="1">
        <f t="shared" si="13"/>
        <v>81611851.776000008</v>
      </c>
      <c r="I94" s="1">
        <f t="shared" si="14"/>
        <v>91813333.247999996</v>
      </c>
      <c r="J94" s="1">
        <f t="shared" si="15"/>
        <v>45906666.623999998</v>
      </c>
      <c r="K94" s="1">
        <f t="shared" si="16"/>
        <v>40805925.888000004</v>
      </c>
      <c r="L94" s="1">
        <f t="shared" si="17"/>
        <v>30604444.415999997</v>
      </c>
      <c r="M94" s="1">
        <f t="shared" si="18"/>
        <v>20402962.944000002</v>
      </c>
      <c r="N94" s="1">
        <f t="shared" si="19"/>
        <v>10201481.472000001</v>
      </c>
    </row>
    <row r="95" spans="1:14" x14ac:dyDescent="0.35">
      <c r="A95" t="s">
        <v>109</v>
      </c>
      <c r="B95" t="s">
        <v>2</v>
      </c>
      <c r="C95" t="s">
        <v>1</v>
      </c>
      <c r="D95" s="1">
        <v>4966416</v>
      </c>
      <c r="E95" s="1">
        <f t="shared" si="10"/>
        <v>5463057.6000000006</v>
      </c>
      <c r="F95" s="1">
        <f t="shared" si="11"/>
        <v>5959699.2000000002</v>
      </c>
      <c r="G95" s="1">
        <f t="shared" si="12"/>
        <v>6952982.3999999994</v>
      </c>
      <c r="H95" s="1">
        <f t="shared" si="13"/>
        <v>7946265.6000000006</v>
      </c>
      <c r="I95" s="1">
        <f t="shared" si="14"/>
        <v>8939548.8000000007</v>
      </c>
      <c r="J95" s="1">
        <f t="shared" si="15"/>
        <v>4469774.4000000004</v>
      </c>
      <c r="K95" s="1">
        <f t="shared" si="16"/>
        <v>3973132.8000000003</v>
      </c>
      <c r="L95" s="1">
        <f t="shared" si="17"/>
        <v>2979849.6</v>
      </c>
      <c r="M95" s="1">
        <f t="shared" si="18"/>
        <v>1986566.4000000001</v>
      </c>
      <c r="N95" s="1">
        <f t="shared" si="19"/>
        <v>993283.20000000007</v>
      </c>
    </row>
    <row r="96" spans="1:14" x14ac:dyDescent="0.35">
      <c r="A96" t="s">
        <v>110</v>
      </c>
      <c r="B96" t="s">
        <v>2</v>
      </c>
      <c r="C96" t="s">
        <v>1</v>
      </c>
      <c r="D96" s="1">
        <v>11751841.92</v>
      </c>
      <c r="E96" s="1">
        <f t="shared" si="10"/>
        <v>12927026.112000002</v>
      </c>
      <c r="F96" s="1">
        <f t="shared" si="11"/>
        <v>14102210.304</v>
      </c>
      <c r="G96" s="1">
        <f t="shared" si="12"/>
        <v>16452578.687999999</v>
      </c>
      <c r="H96" s="1">
        <f t="shared" si="13"/>
        <v>18802947.072000001</v>
      </c>
      <c r="I96" s="1">
        <f t="shared" si="14"/>
        <v>21153315.456</v>
      </c>
      <c r="J96" s="1">
        <f t="shared" si="15"/>
        <v>10576657.728</v>
      </c>
      <c r="K96" s="1">
        <f t="shared" si="16"/>
        <v>9401473.5360000003</v>
      </c>
      <c r="L96" s="1">
        <f t="shared" si="17"/>
        <v>7051105.1519999998</v>
      </c>
      <c r="M96" s="1">
        <f t="shared" si="18"/>
        <v>4700736.7680000002</v>
      </c>
      <c r="N96" s="1">
        <f t="shared" si="19"/>
        <v>2350368.3840000001</v>
      </c>
    </row>
    <row r="97" spans="1:14" x14ac:dyDescent="0.35">
      <c r="A97" t="s">
        <v>111</v>
      </c>
      <c r="B97" t="s">
        <v>2</v>
      </c>
      <c r="C97" t="s">
        <v>1</v>
      </c>
      <c r="D97" s="1">
        <v>47400050.880000003</v>
      </c>
      <c r="E97" s="1">
        <f t="shared" si="10"/>
        <v>52140055.96800001</v>
      </c>
      <c r="F97" s="1">
        <f t="shared" si="11"/>
        <v>56880061.056000002</v>
      </c>
      <c r="G97" s="1">
        <f t="shared" si="12"/>
        <v>66360071.232000001</v>
      </c>
      <c r="H97" s="1">
        <f t="shared" si="13"/>
        <v>75840081.408000007</v>
      </c>
      <c r="I97" s="1">
        <f t="shared" si="14"/>
        <v>85320091.584000006</v>
      </c>
      <c r="J97" s="1">
        <f t="shared" si="15"/>
        <v>42660045.792000003</v>
      </c>
      <c r="K97" s="1">
        <f t="shared" si="16"/>
        <v>37920040.704000004</v>
      </c>
      <c r="L97" s="1">
        <f t="shared" si="17"/>
        <v>28440030.528000001</v>
      </c>
      <c r="M97" s="1">
        <f t="shared" si="18"/>
        <v>18960020.352000002</v>
      </c>
      <c r="N97" s="1">
        <f t="shared" si="19"/>
        <v>9480010.1760000009</v>
      </c>
    </row>
    <row r="98" spans="1:14" x14ac:dyDescent="0.35">
      <c r="A98" t="s">
        <v>112</v>
      </c>
      <c r="B98" t="s">
        <v>2</v>
      </c>
      <c r="C98" t="s">
        <v>1</v>
      </c>
      <c r="D98" s="1">
        <v>53934142.079999998</v>
      </c>
      <c r="E98" s="1">
        <f t="shared" si="10"/>
        <v>59327556.288000003</v>
      </c>
      <c r="F98" s="1">
        <f t="shared" si="11"/>
        <v>64720970.495999992</v>
      </c>
      <c r="G98" s="1">
        <f t="shared" si="12"/>
        <v>75507798.911999986</v>
      </c>
      <c r="H98" s="1">
        <f t="shared" si="13"/>
        <v>86294627.328000009</v>
      </c>
      <c r="I98" s="1">
        <f t="shared" si="14"/>
        <v>97081455.744000003</v>
      </c>
      <c r="J98" s="1">
        <f t="shared" si="15"/>
        <v>48540727.872000001</v>
      </c>
      <c r="K98" s="1">
        <f t="shared" si="16"/>
        <v>43147313.664000005</v>
      </c>
      <c r="L98" s="1">
        <f t="shared" si="17"/>
        <v>32360485.247999996</v>
      </c>
      <c r="M98" s="1">
        <f t="shared" si="18"/>
        <v>21573656.832000002</v>
      </c>
      <c r="N98" s="1">
        <f t="shared" si="19"/>
        <v>10786828.416000001</v>
      </c>
    </row>
    <row r="99" spans="1:14" x14ac:dyDescent="0.35">
      <c r="A99" t="s">
        <v>113</v>
      </c>
      <c r="B99" t="s">
        <v>2</v>
      </c>
      <c r="C99" t="s">
        <v>1</v>
      </c>
      <c r="D99" s="1">
        <v>3298276.8000000003</v>
      </c>
      <c r="E99" s="1">
        <f t="shared" si="10"/>
        <v>3628104.4800000004</v>
      </c>
      <c r="F99" s="1">
        <f t="shared" si="11"/>
        <v>3957932.16</v>
      </c>
      <c r="G99" s="1">
        <f t="shared" si="12"/>
        <v>4617587.5200000005</v>
      </c>
      <c r="H99" s="1">
        <f t="shared" si="13"/>
        <v>5277242.8800000008</v>
      </c>
      <c r="I99" s="1">
        <f t="shared" si="14"/>
        <v>5936898.2400000002</v>
      </c>
      <c r="J99" s="1">
        <f t="shared" si="15"/>
        <v>2968449.12</v>
      </c>
      <c r="K99" s="1">
        <f t="shared" si="16"/>
        <v>2638621.4400000004</v>
      </c>
      <c r="L99" s="1">
        <f t="shared" si="17"/>
        <v>1978966.08</v>
      </c>
      <c r="M99" s="1">
        <f t="shared" si="18"/>
        <v>1319310.7200000002</v>
      </c>
      <c r="N99" s="1">
        <f t="shared" si="19"/>
        <v>659655.3600000001</v>
      </c>
    </row>
    <row r="100" spans="1:14" x14ac:dyDescent="0.35">
      <c r="A100" t="s">
        <v>114</v>
      </c>
      <c r="B100" t="s">
        <v>2</v>
      </c>
      <c r="C100" t="s">
        <v>1</v>
      </c>
      <c r="D100" s="1">
        <v>24575853.120000001</v>
      </c>
      <c r="E100" s="1">
        <f t="shared" si="10"/>
        <v>27033438.432000004</v>
      </c>
      <c r="F100" s="1">
        <f t="shared" si="11"/>
        <v>29491023.743999999</v>
      </c>
      <c r="G100" s="1">
        <f t="shared" si="12"/>
        <v>34406194.368000001</v>
      </c>
      <c r="H100" s="1">
        <f t="shared" si="13"/>
        <v>39321364.992000006</v>
      </c>
      <c r="I100" s="1">
        <f t="shared" si="14"/>
        <v>44236535.616000004</v>
      </c>
      <c r="J100" s="1">
        <f t="shared" si="15"/>
        <v>22118267.808000002</v>
      </c>
      <c r="K100" s="1">
        <f t="shared" si="16"/>
        <v>19660682.496000003</v>
      </c>
      <c r="L100" s="1">
        <f t="shared" si="17"/>
        <v>14745511.872</v>
      </c>
      <c r="M100" s="1">
        <f t="shared" si="18"/>
        <v>9830341.2480000015</v>
      </c>
      <c r="N100" s="1">
        <f t="shared" si="19"/>
        <v>4915170.6240000008</v>
      </c>
    </row>
    <row r="101" spans="1:14" x14ac:dyDescent="0.35">
      <c r="A101" t="s">
        <v>115</v>
      </c>
      <c r="B101" t="s">
        <v>2</v>
      </c>
      <c r="C101" t="s">
        <v>1</v>
      </c>
      <c r="D101" s="1">
        <v>201944870.40000001</v>
      </c>
      <c r="E101" s="1">
        <f t="shared" si="10"/>
        <v>222139357.44000003</v>
      </c>
      <c r="F101" s="1">
        <f t="shared" si="11"/>
        <v>242333844.47999999</v>
      </c>
      <c r="G101" s="1">
        <f t="shared" si="12"/>
        <v>282722818.56</v>
      </c>
      <c r="H101" s="1">
        <f t="shared" si="13"/>
        <v>323111792.64000005</v>
      </c>
      <c r="I101" s="1">
        <f t="shared" si="14"/>
        <v>363500766.72000003</v>
      </c>
      <c r="J101" s="1">
        <f t="shared" si="15"/>
        <v>181750383.36000001</v>
      </c>
      <c r="K101" s="1">
        <f t="shared" si="16"/>
        <v>161555896.32000002</v>
      </c>
      <c r="L101" s="1">
        <f t="shared" si="17"/>
        <v>121166922.23999999</v>
      </c>
      <c r="M101" s="1">
        <f t="shared" si="18"/>
        <v>80777948.160000011</v>
      </c>
      <c r="N101" s="1">
        <f t="shared" si="19"/>
        <v>40388974.080000006</v>
      </c>
    </row>
    <row r="102" spans="1:14" x14ac:dyDescent="0.35">
      <c r="A102" t="s">
        <v>116</v>
      </c>
      <c r="B102" t="s">
        <v>2</v>
      </c>
      <c r="C102" t="s">
        <v>1</v>
      </c>
      <c r="D102" s="1">
        <v>114077308.8</v>
      </c>
      <c r="E102" s="1">
        <f t="shared" si="10"/>
        <v>125485039.68000001</v>
      </c>
      <c r="F102" s="1">
        <f t="shared" si="11"/>
        <v>136892770.56</v>
      </c>
      <c r="G102" s="1">
        <f t="shared" si="12"/>
        <v>159708232.31999999</v>
      </c>
      <c r="H102" s="1">
        <f t="shared" si="13"/>
        <v>182523694.08000001</v>
      </c>
      <c r="I102" s="1">
        <f t="shared" si="14"/>
        <v>205339155.84</v>
      </c>
      <c r="J102" s="1">
        <f t="shared" si="15"/>
        <v>102669577.92</v>
      </c>
      <c r="K102" s="1">
        <f t="shared" si="16"/>
        <v>91261847.040000007</v>
      </c>
      <c r="L102" s="1">
        <f t="shared" si="17"/>
        <v>68446385.280000001</v>
      </c>
      <c r="M102" s="1">
        <f t="shared" si="18"/>
        <v>45630923.520000003</v>
      </c>
      <c r="N102" s="1">
        <f t="shared" si="19"/>
        <v>22815461.760000002</v>
      </c>
    </row>
    <row r="103" spans="1:14" x14ac:dyDescent="0.35">
      <c r="A103" t="s">
        <v>117</v>
      </c>
      <c r="B103" t="s">
        <v>2</v>
      </c>
      <c r="C103" t="s">
        <v>1</v>
      </c>
      <c r="D103" s="1">
        <v>54331105.920000002</v>
      </c>
      <c r="E103" s="1">
        <f t="shared" si="10"/>
        <v>59764216.512000009</v>
      </c>
      <c r="F103" s="1">
        <f t="shared" si="11"/>
        <v>65197327.104000002</v>
      </c>
      <c r="G103" s="1">
        <f t="shared" si="12"/>
        <v>76063548.288000003</v>
      </c>
      <c r="H103" s="1">
        <f t="shared" si="13"/>
        <v>86929769.472000003</v>
      </c>
      <c r="I103" s="1">
        <f t="shared" si="14"/>
        <v>97795990.656000003</v>
      </c>
      <c r="J103" s="1">
        <f t="shared" si="15"/>
        <v>48897995.328000002</v>
      </c>
      <c r="K103" s="1">
        <f t="shared" si="16"/>
        <v>43464884.736000001</v>
      </c>
      <c r="L103" s="1">
        <f t="shared" si="17"/>
        <v>32598663.552000001</v>
      </c>
      <c r="M103" s="1">
        <f t="shared" si="18"/>
        <v>21732442.368000001</v>
      </c>
      <c r="N103" s="1">
        <f t="shared" si="19"/>
        <v>10866221.184</v>
      </c>
    </row>
    <row r="104" spans="1:14" x14ac:dyDescent="0.35">
      <c r="A104" t="s">
        <v>118</v>
      </c>
      <c r="B104" t="s">
        <v>2</v>
      </c>
      <c r="C104" t="s">
        <v>1</v>
      </c>
      <c r="D104" s="1">
        <v>2134991.04</v>
      </c>
      <c r="E104" s="1">
        <f t="shared" si="10"/>
        <v>2348490.1440000003</v>
      </c>
      <c r="F104" s="1">
        <f t="shared" si="11"/>
        <v>2561989.2480000001</v>
      </c>
      <c r="G104" s="1">
        <f t="shared" si="12"/>
        <v>2988987.4559999998</v>
      </c>
      <c r="H104" s="1">
        <f t="shared" si="13"/>
        <v>3415985.6640000003</v>
      </c>
      <c r="I104" s="1">
        <f t="shared" si="14"/>
        <v>3842983.872</v>
      </c>
      <c r="J104" s="1">
        <f t="shared" si="15"/>
        <v>1921491.936</v>
      </c>
      <c r="K104" s="1">
        <f t="shared" si="16"/>
        <v>1707992.8320000002</v>
      </c>
      <c r="L104" s="1">
        <f t="shared" si="17"/>
        <v>1280994.6240000001</v>
      </c>
      <c r="M104" s="1">
        <f t="shared" si="18"/>
        <v>853996.41600000008</v>
      </c>
      <c r="N104" s="1">
        <f t="shared" si="19"/>
        <v>426998.20800000004</v>
      </c>
    </row>
    <row r="105" spans="1:14" x14ac:dyDescent="0.35">
      <c r="A105" t="s">
        <v>119</v>
      </c>
      <c r="B105" t="s">
        <v>2</v>
      </c>
      <c r="C105" t="s">
        <v>1</v>
      </c>
      <c r="D105" s="1">
        <v>69248000.640000001</v>
      </c>
      <c r="E105" s="1">
        <f t="shared" si="10"/>
        <v>76172800.704000011</v>
      </c>
      <c r="F105" s="1">
        <f t="shared" si="11"/>
        <v>83097600.767999992</v>
      </c>
      <c r="G105" s="1">
        <f t="shared" si="12"/>
        <v>96947200.895999998</v>
      </c>
      <c r="H105" s="1">
        <f t="shared" si="13"/>
        <v>110796801.024</v>
      </c>
      <c r="I105" s="1">
        <f t="shared" si="14"/>
        <v>124646401.15200001</v>
      </c>
      <c r="J105" s="1">
        <f t="shared" si="15"/>
        <v>62323200.576000005</v>
      </c>
      <c r="K105" s="1">
        <f t="shared" si="16"/>
        <v>55398400.512000002</v>
      </c>
      <c r="L105" s="1">
        <f t="shared" si="17"/>
        <v>41548800.383999996</v>
      </c>
      <c r="M105" s="1">
        <f t="shared" si="18"/>
        <v>27699200.256000001</v>
      </c>
      <c r="N105" s="1">
        <f t="shared" si="19"/>
        <v>13849600.128</v>
      </c>
    </row>
    <row r="106" spans="1:14" x14ac:dyDescent="0.35">
      <c r="A106" t="s">
        <v>120</v>
      </c>
      <c r="B106" t="s">
        <v>2</v>
      </c>
      <c r="C106" t="s">
        <v>1</v>
      </c>
      <c r="D106" s="1">
        <v>1197006.7200000002</v>
      </c>
      <c r="E106" s="1">
        <f t="shared" si="10"/>
        <v>1316707.3920000002</v>
      </c>
      <c r="F106" s="1">
        <f t="shared" si="11"/>
        <v>1436408.0640000002</v>
      </c>
      <c r="G106" s="1">
        <f t="shared" si="12"/>
        <v>1675809.4080000003</v>
      </c>
      <c r="H106" s="1">
        <f t="shared" si="13"/>
        <v>1915210.7520000003</v>
      </c>
      <c r="I106" s="1">
        <f t="shared" si="14"/>
        <v>2154612.0960000004</v>
      </c>
      <c r="J106" s="1">
        <f t="shared" si="15"/>
        <v>1077306.0480000002</v>
      </c>
      <c r="K106" s="1">
        <f t="shared" si="16"/>
        <v>957605.37600000016</v>
      </c>
      <c r="L106" s="1">
        <f t="shared" si="17"/>
        <v>718204.03200000012</v>
      </c>
      <c r="M106" s="1">
        <f t="shared" si="18"/>
        <v>478802.68800000008</v>
      </c>
      <c r="N106" s="1">
        <f t="shared" si="19"/>
        <v>239401.34400000004</v>
      </c>
    </row>
    <row r="107" spans="1:14" x14ac:dyDescent="0.35">
      <c r="A107" t="s">
        <v>121</v>
      </c>
      <c r="B107" t="s">
        <v>2</v>
      </c>
      <c r="C107" t="s">
        <v>1</v>
      </c>
      <c r="D107" s="1">
        <v>6190329.6000000006</v>
      </c>
      <c r="E107" s="1">
        <f t="shared" si="10"/>
        <v>6809362.5600000015</v>
      </c>
      <c r="F107" s="1">
        <f t="shared" si="11"/>
        <v>7428395.5200000005</v>
      </c>
      <c r="G107" s="1">
        <f t="shared" si="12"/>
        <v>8666461.4399999995</v>
      </c>
      <c r="H107" s="1">
        <f t="shared" si="13"/>
        <v>9904527.3600000013</v>
      </c>
      <c r="I107" s="1">
        <f t="shared" si="14"/>
        <v>11142593.280000001</v>
      </c>
      <c r="J107" s="1">
        <f t="shared" si="15"/>
        <v>5571296.6400000006</v>
      </c>
      <c r="K107" s="1">
        <f t="shared" si="16"/>
        <v>4952263.6800000006</v>
      </c>
      <c r="L107" s="1">
        <f t="shared" si="17"/>
        <v>3714197.7600000002</v>
      </c>
      <c r="M107" s="1">
        <f t="shared" si="18"/>
        <v>2476131.8400000003</v>
      </c>
      <c r="N107" s="1">
        <f t="shared" si="19"/>
        <v>1238065.9200000002</v>
      </c>
    </row>
    <row r="108" spans="1:14" x14ac:dyDescent="0.35">
      <c r="A108" t="s">
        <v>122</v>
      </c>
      <c r="B108" t="s">
        <v>2</v>
      </c>
      <c r="C108" t="s">
        <v>1</v>
      </c>
      <c r="D108" s="1">
        <v>111577065.60000001</v>
      </c>
      <c r="E108" s="1">
        <f t="shared" si="10"/>
        <v>122734772.16000003</v>
      </c>
      <c r="F108" s="1">
        <f t="shared" si="11"/>
        <v>133892478.72</v>
      </c>
      <c r="G108" s="1">
        <f t="shared" si="12"/>
        <v>156207891.84</v>
      </c>
      <c r="H108" s="1">
        <f t="shared" si="13"/>
        <v>178523304.96000004</v>
      </c>
      <c r="I108" s="1">
        <f t="shared" si="14"/>
        <v>200838718.08000001</v>
      </c>
      <c r="J108" s="1">
        <f t="shared" si="15"/>
        <v>100419359.04000001</v>
      </c>
      <c r="K108" s="1">
        <f t="shared" si="16"/>
        <v>89261652.480000019</v>
      </c>
      <c r="L108" s="1">
        <f t="shared" si="17"/>
        <v>66946239.359999999</v>
      </c>
      <c r="M108" s="1">
        <f t="shared" si="18"/>
        <v>44630826.24000001</v>
      </c>
      <c r="N108" s="1">
        <f t="shared" si="19"/>
        <v>22315413.120000005</v>
      </c>
    </row>
    <row r="109" spans="1:14" x14ac:dyDescent="0.35">
      <c r="A109" t="s">
        <v>123</v>
      </c>
      <c r="B109" t="s">
        <v>2</v>
      </c>
      <c r="C109" t="s">
        <v>1</v>
      </c>
      <c r="D109" s="1">
        <v>10616686.08</v>
      </c>
      <c r="E109" s="1">
        <f t="shared" si="10"/>
        <v>11678354.688000001</v>
      </c>
      <c r="F109" s="1">
        <f t="shared" si="11"/>
        <v>12740023.296</v>
      </c>
      <c r="G109" s="1">
        <f t="shared" si="12"/>
        <v>14863360.511999998</v>
      </c>
      <c r="H109" s="1">
        <f t="shared" si="13"/>
        <v>16986697.728</v>
      </c>
      <c r="I109" s="1">
        <f t="shared" si="14"/>
        <v>19110034.944000002</v>
      </c>
      <c r="J109" s="1">
        <f t="shared" si="15"/>
        <v>9555017.472000001</v>
      </c>
      <c r="K109" s="1">
        <f t="shared" si="16"/>
        <v>8493348.8640000001</v>
      </c>
      <c r="L109" s="1">
        <f t="shared" si="17"/>
        <v>6370011.648</v>
      </c>
      <c r="M109" s="1">
        <f t="shared" si="18"/>
        <v>4246674.432</v>
      </c>
      <c r="N109" s="1">
        <f t="shared" si="19"/>
        <v>2123337.216</v>
      </c>
    </row>
    <row r="110" spans="1:14" x14ac:dyDescent="0.35">
      <c r="A110" t="s">
        <v>124</v>
      </c>
      <c r="B110" t="s">
        <v>2</v>
      </c>
      <c r="C110" t="s">
        <v>1</v>
      </c>
      <c r="D110" s="1">
        <v>9475939.2000000011</v>
      </c>
      <c r="E110" s="1">
        <f t="shared" si="10"/>
        <v>10423533.120000003</v>
      </c>
      <c r="F110" s="1">
        <f t="shared" si="11"/>
        <v>11371127.040000001</v>
      </c>
      <c r="G110" s="1">
        <f t="shared" si="12"/>
        <v>13266314.880000001</v>
      </c>
      <c r="H110" s="1">
        <f t="shared" si="13"/>
        <v>15161502.720000003</v>
      </c>
      <c r="I110" s="1">
        <f t="shared" si="14"/>
        <v>17056690.560000002</v>
      </c>
      <c r="J110" s="1">
        <f t="shared" si="15"/>
        <v>8528345.2800000012</v>
      </c>
      <c r="K110" s="1">
        <f t="shared" si="16"/>
        <v>7580751.3600000013</v>
      </c>
      <c r="L110" s="1">
        <f t="shared" si="17"/>
        <v>5685563.5200000005</v>
      </c>
      <c r="M110" s="1">
        <f t="shared" si="18"/>
        <v>3790375.6800000006</v>
      </c>
      <c r="N110" s="1">
        <f t="shared" si="19"/>
        <v>1895187.8400000003</v>
      </c>
    </row>
    <row r="111" spans="1:14" x14ac:dyDescent="0.35">
      <c r="A111" t="s">
        <v>125</v>
      </c>
      <c r="B111" t="s">
        <v>2</v>
      </c>
      <c r="C111" t="s">
        <v>1</v>
      </c>
      <c r="D111" s="1">
        <v>49630089.600000001</v>
      </c>
      <c r="E111" s="1">
        <f t="shared" si="10"/>
        <v>54593098.560000002</v>
      </c>
      <c r="F111" s="1">
        <f t="shared" si="11"/>
        <v>59556107.520000003</v>
      </c>
      <c r="G111" s="1">
        <f t="shared" si="12"/>
        <v>69482125.439999998</v>
      </c>
      <c r="H111" s="1">
        <f t="shared" si="13"/>
        <v>79408143.359999999</v>
      </c>
      <c r="I111" s="1">
        <f t="shared" si="14"/>
        <v>89334161.280000001</v>
      </c>
      <c r="J111" s="1">
        <f t="shared" si="15"/>
        <v>44667080.640000001</v>
      </c>
      <c r="K111" s="1">
        <f t="shared" si="16"/>
        <v>39704071.68</v>
      </c>
      <c r="L111" s="1">
        <f t="shared" si="17"/>
        <v>29778053.760000002</v>
      </c>
      <c r="M111" s="1">
        <f t="shared" si="18"/>
        <v>19852035.84</v>
      </c>
      <c r="N111" s="1">
        <f t="shared" si="19"/>
        <v>9926017.9199999999</v>
      </c>
    </row>
    <row r="112" spans="1:14" x14ac:dyDescent="0.35">
      <c r="A112" t="s">
        <v>126</v>
      </c>
      <c r="B112" t="s">
        <v>2</v>
      </c>
      <c r="C112" t="s">
        <v>1</v>
      </c>
      <c r="D112" s="1">
        <v>2882443.1999999997</v>
      </c>
      <c r="E112" s="1">
        <f t="shared" si="10"/>
        <v>3170687.52</v>
      </c>
      <c r="F112" s="1">
        <f t="shared" si="11"/>
        <v>3458931.8399999994</v>
      </c>
      <c r="G112" s="1">
        <f t="shared" si="12"/>
        <v>4035420.4799999995</v>
      </c>
      <c r="H112" s="1">
        <f t="shared" si="13"/>
        <v>4611909.12</v>
      </c>
      <c r="I112" s="1">
        <f t="shared" si="14"/>
        <v>5188397.76</v>
      </c>
      <c r="J112" s="1">
        <f t="shared" si="15"/>
        <v>2594198.88</v>
      </c>
      <c r="K112" s="1">
        <f t="shared" si="16"/>
        <v>2305954.56</v>
      </c>
      <c r="L112" s="1">
        <f t="shared" si="17"/>
        <v>1729465.9199999997</v>
      </c>
      <c r="M112" s="1">
        <f t="shared" si="18"/>
        <v>1152977.28</v>
      </c>
      <c r="N112" s="1">
        <f t="shared" si="19"/>
        <v>576488.64</v>
      </c>
    </row>
    <row r="113" spans="1:14" x14ac:dyDescent="0.35">
      <c r="A113" t="s">
        <v>127</v>
      </c>
      <c r="B113" t="s">
        <v>2</v>
      </c>
      <c r="C113" t="s">
        <v>1</v>
      </c>
      <c r="D113" s="1">
        <v>6732398.3999999994</v>
      </c>
      <c r="E113" s="1">
        <f t="shared" si="10"/>
        <v>7405638.2400000002</v>
      </c>
      <c r="F113" s="1">
        <f t="shared" si="11"/>
        <v>8078878.0799999991</v>
      </c>
      <c r="G113" s="1">
        <f t="shared" si="12"/>
        <v>9425357.7599999979</v>
      </c>
      <c r="H113" s="1">
        <f t="shared" si="13"/>
        <v>10771837.439999999</v>
      </c>
      <c r="I113" s="1">
        <f t="shared" si="14"/>
        <v>12118317.119999999</v>
      </c>
      <c r="J113" s="1">
        <f t="shared" si="15"/>
        <v>6059158.5599999996</v>
      </c>
      <c r="K113" s="1">
        <f t="shared" si="16"/>
        <v>5385918.7199999997</v>
      </c>
      <c r="L113" s="1">
        <f t="shared" si="17"/>
        <v>4039439.0399999996</v>
      </c>
      <c r="M113" s="1">
        <f t="shared" si="18"/>
        <v>2692959.36</v>
      </c>
      <c r="N113" s="1">
        <f t="shared" si="19"/>
        <v>1346479.68</v>
      </c>
    </row>
    <row r="114" spans="1:14" x14ac:dyDescent="0.35">
      <c r="A114" t="s">
        <v>128</v>
      </c>
      <c r="B114" t="s">
        <v>2</v>
      </c>
      <c r="C114" t="s">
        <v>1</v>
      </c>
      <c r="D114" s="1">
        <v>269330.88</v>
      </c>
      <c r="E114" s="1">
        <f t="shared" si="10"/>
        <v>296263.96800000005</v>
      </c>
      <c r="F114" s="1">
        <f t="shared" si="11"/>
        <v>323197.05599999998</v>
      </c>
      <c r="G114" s="1">
        <f t="shared" si="12"/>
        <v>377063.23199999996</v>
      </c>
      <c r="H114" s="1">
        <f t="shared" si="13"/>
        <v>430929.40800000005</v>
      </c>
      <c r="I114" s="1">
        <f t="shared" si="14"/>
        <v>484795.58400000003</v>
      </c>
      <c r="J114" s="1">
        <f t="shared" si="15"/>
        <v>242397.79200000002</v>
      </c>
      <c r="K114" s="1">
        <f t="shared" si="16"/>
        <v>215464.70400000003</v>
      </c>
      <c r="L114" s="1">
        <f t="shared" si="17"/>
        <v>161598.52799999999</v>
      </c>
      <c r="M114" s="1">
        <f t="shared" si="18"/>
        <v>107732.35200000001</v>
      </c>
      <c r="N114" s="1">
        <f t="shared" si="19"/>
        <v>53866.176000000007</v>
      </c>
    </row>
    <row r="115" spans="1:14" x14ac:dyDescent="0.35">
      <c r="A115" t="s">
        <v>129</v>
      </c>
      <c r="B115" t="s">
        <v>2</v>
      </c>
      <c r="C115" t="s">
        <v>1</v>
      </c>
      <c r="D115" s="1">
        <v>1650492.48</v>
      </c>
      <c r="E115" s="1">
        <f t="shared" si="10"/>
        <v>1815541.7280000001</v>
      </c>
      <c r="F115" s="1">
        <f t="shared" si="11"/>
        <v>1980590.9759999998</v>
      </c>
      <c r="G115" s="1">
        <f t="shared" si="12"/>
        <v>2310689.4719999996</v>
      </c>
      <c r="H115" s="1">
        <f t="shared" si="13"/>
        <v>2640787.9680000003</v>
      </c>
      <c r="I115" s="1">
        <f t="shared" si="14"/>
        <v>2970886.4640000002</v>
      </c>
      <c r="J115" s="1">
        <f t="shared" si="15"/>
        <v>1485443.2320000001</v>
      </c>
      <c r="K115" s="1">
        <f t="shared" si="16"/>
        <v>1320393.9840000002</v>
      </c>
      <c r="L115" s="1">
        <f t="shared" si="17"/>
        <v>990295.4879999999</v>
      </c>
      <c r="M115" s="1">
        <f t="shared" si="18"/>
        <v>660196.99200000009</v>
      </c>
      <c r="N115" s="1">
        <f t="shared" si="19"/>
        <v>330098.49600000004</v>
      </c>
    </row>
    <row r="116" spans="1:14" x14ac:dyDescent="0.35">
      <c r="A116" t="s">
        <v>130</v>
      </c>
      <c r="B116" t="s">
        <v>2</v>
      </c>
      <c r="C116" t="s">
        <v>1</v>
      </c>
      <c r="D116" s="1">
        <v>1831677.1199999999</v>
      </c>
      <c r="E116" s="1">
        <f t="shared" si="10"/>
        <v>2014844.8319999999</v>
      </c>
      <c r="F116" s="1">
        <f t="shared" si="11"/>
        <v>2198012.5439999998</v>
      </c>
      <c r="G116" s="1">
        <f t="shared" si="12"/>
        <v>2564347.9679999999</v>
      </c>
      <c r="H116" s="1">
        <f t="shared" si="13"/>
        <v>2930683.392</v>
      </c>
      <c r="I116" s="1">
        <f t="shared" si="14"/>
        <v>3297018.8159999996</v>
      </c>
      <c r="J116" s="1">
        <f t="shared" si="15"/>
        <v>1648509.4079999998</v>
      </c>
      <c r="K116" s="1">
        <f t="shared" si="16"/>
        <v>1465341.696</v>
      </c>
      <c r="L116" s="1">
        <f t="shared" si="17"/>
        <v>1099006.2719999999</v>
      </c>
      <c r="M116" s="1">
        <f t="shared" si="18"/>
        <v>732670.848</v>
      </c>
      <c r="N116" s="1">
        <f t="shared" si="19"/>
        <v>366335.424</v>
      </c>
    </row>
    <row r="117" spans="1:14" x14ac:dyDescent="0.35">
      <c r="A117" t="s">
        <v>131</v>
      </c>
      <c r="B117" t="s">
        <v>2</v>
      </c>
      <c r="C117" t="s">
        <v>1</v>
      </c>
      <c r="D117" s="1">
        <v>1634592.9600000002</v>
      </c>
      <c r="E117" s="1">
        <f t="shared" si="10"/>
        <v>1798052.2560000003</v>
      </c>
      <c r="F117" s="1">
        <f t="shared" si="11"/>
        <v>1961511.5520000001</v>
      </c>
      <c r="G117" s="1">
        <f t="shared" si="12"/>
        <v>2288430.1440000003</v>
      </c>
      <c r="H117" s="1">
        <f t="shared" si="13"/>
        <v>2615348.7360000005</v>
      </c>
      <c r="I117" s="1">
        <f t="shared" si="14"/>
        <v>2942267.3280000002</v>
      </c>
      <c r="J117" s="1">
        <f t="shared" si="15"/>
        <v>1471133.6640000001</v>
      </c>
      <c r="K117" s="1">
        <f t="shared" si="16"/>
        <v>1307674.3680000002</v>
      </c>
      <c r="L117" s="1">
        <f t="shared" si="17"/>
        <v>980755.77600000007</v>
      </c>
      <c r="M117" s="1">
        <f t="shared" si="18"/>
        <v>653837.18400000012</v>
      </c>
      <c r="N117" s="1">
        <f t="shared" si="19"/>
        <v>326918.59200000006</v>
      </c>
    </row>
    <row r="118" spans="1:14" x14ac:dyDescent="0.35">
      <c r="A118" t="s">
        <v>132</v>
      </c>
      <c r="B118" t="s">
        <v>2</v>
      </c>
      <c r="C118" t="s">
        <v>1</v>
      </c>
      <c r="D118" s="1">
        <v>233513.28</v>
      </c>
      <c r="E118" s="1">
        <f t="shared" si="10"/>
        <v>256864.60800000001</v>
      </c>
      <c r="F118" s="1">
        <f t="shared" si="11"/>
        <v>280215.93599999999</v>
      </c>
      <c r="G118" s="1">
        <f t="shared" si="12"/>
        <v>326918.592</v>
      </c>
      <c r="H118" s="1">
        <f t="shared" si="13"/>
        <v>373621.24800000002</v>
      </c>
      <c r="I118" s="1">
        <f t="shared" si="14"/>
        <v>420323.90399999998</v>
      </c>
      <c r="J118" s="1">
        <f t="shared" si="15"/>
        <v>210161.95199999999</v>
      </c>
      <c r="K118" s="1">
        <f t="shared" si="16"/>
        <v>186810.62400000001</v>
      </c>
      <c r="L118" s="1">
        <f t="shared" si="17"/>
        <v>140107.96799999999</v>
      </c>
      <c r="M118" s="1">
        <f t="shared" si="18"/>
        <v>93405.312000000005</v>
      </c>
      <c r="N118" s="1">
        <f t="shared" si="19"/>
        <v>46702.656000000003</v>
      </c>
    </row>
    <row r="119" spans="1:14" x14ac:dyDescent="0.35">
      <c r="A119" t="s">
        <v>133</v>
      </c>
      <c r="B119" t="s">
        <v>2</v>
      </c>
      <c r="C119" t="s">
        <v>1</v>
      </c>
      <c r="D119" s="1">
        <v>6474162.2400000002</v>
      </c>
      <c r="E119" s="1">
        <f t="shared" si="10"/>
        <v>7121578.4640000006</v>
      </c>
      <c r="F119" s="1">
        <f t="shared" si="11"/>
        <v>7768994.6880000001</v>
      </c>
      <c r="G119" s="1">
        <f t="shared" si="12"/>
        <v>9063827.1359999999</v>
      </c>
      <c r="H119" s="1">
        <f t="shared" si="13"/>
        <v>10358659.584000001</v>
      </c>
      <c r="I119" s="1">
        <f t="shared" si="14"/>
        <v>11653492.032000002</v>
      </c>
      <c r="J119" s="1">
        <f t="shared" si="15"/>
        <v>5826746.0160000008</v>
      </c>
      <c r="K119" s="1">
        <f t="shared" si="16"/>
        <v>5179329.7920000004</v>
      </c>
      <c r="L119" s="1">
        <f t="shared" si="17"/>
        <v>3884497.344</v>
      </c>
      <c r="M119" s="1">
        <f t="shared" si="18"/>
        <v>2589664.8960000002</v>
      </c>
      <c r="N119" s="1">
        <f t="shared" si="19"/>
        <v>1294832.4480000001</v>
      </c>
    </row>
    <row r="120" spans="1:14" x14ac:dyDescent="0.35">
      <c r="A120" t="s">
        <v>134</v>
      </c>
      <c r="B120" t="s">
        <v>2</v>
      </c>
      <c r="C120" t="s">
        <v>1</v>
      </c>
      <c r="D120" s="1">
        <v>4198172.16</v>
      </c>
      <c r="E120" s="1">
        <f t="shared" si="10"/>
        <v>4617989.3760000002</v>
      </c>
      <c r="F120" s="1">
        <f t="shared" si="11"/>
        <v>5037806.5920000002</v>
      </c>
      <c r="G120" s="1">
        <f t="shared" si="12"/>
        <v>5877441.0240000002</v>
      </c>
      <c r="H120" s="1">
        <f t="shared" si="13"/>
        <v>6717075.4560000002</v>
      </c>
      <c r="I120" s="1">
        <f t="shared" si="14"/>
        <v>7556709.8880000003</v>
      </c>
      <c r="J120" s="1">
        <f t="shared" si="15"/>
        <v>3778354.9440000001</v>
      </c>
      <c r="K120" s="1">
        <f t="shared" si="16"/>
        <v>3358537.7280000001</v>
      </c>
      <c r="L120" s="1">
        <f t="shared" si="17"/>
        <v>2518903.2960000001</v>
      </c>
      <c r="M120" s="1">
        <f t="shared" si="18"/>
        <v>1679268.8640000001</v>
      </c>
      <c r="N120" s="1">
        <f t="shared" si="19"/>
        <v>839634.43200000003</v>
      </c>
    </row>
    <row r="121" spans="1:14" x14ac:dyDescent="0.35">
      <c r="A121" t="s">
        <v>135</v>
      </c>
      <c r="B121" t="s">
        <v>2</v>
      </c>
      <c r="C121" t="s">
        <v>1</v>
      </c>
      <c r="D121" s="1">
        <v>5007387.8400000008</v>
      </c>
      <c r="E121" s="1">
        <f t="shared" si="10"/>
        <v>5508126.6240000017</v>
      </c>
      <c r="F121" s="1">
        <f t="shared" si="11"/>
        <v>6008865.4080000008</v>
      </c>
      <c r="G121" s="1">
        <f t="shared" si="12"/>
        <v>7010342.9760000007</v>
      </c>
      <c r="H121" s="1">
        <f t="shared" si="13"/>
        <v>8011820.5440000016</v>
      </c>
      <c r="I121" s="1">
        <f t="shared" si="14"/>
        <v>9013298.1120000016</v>
      </c>
      <c r="J121" s="1">
        <f t="shared" si="15"/>
        <v>4506649.0560000008</v>
      </c>
      <c r="K121" s="1">
        <f t="shared" si="16"/>
        <v>4005910.2720000008</v>
      </c>
      <c r="L121" s="1">
        <f t="shared" si="17"/>
        <v>3004432.7040000004</v>
      </c>
      <c r="M121" s="1">
        <f t="shared" si="18"/>
        <v>2002955.1360000004</v>
      </c>
      <c r="N121" s="1">
        <f t="shared" si="19"/>
        <v>1001477.5680000002</v>
      </c>
    </row>
    <row r="122" spans="1:14" x14ac:dyDescent="0.35">
      <c r="A122" t="s">
        <v>136</v>
      </c>
      <c r="B122" t="s">
        <v>2</v>
      </c>
      <c r="C122" t="s">
        <v>1</v>
      </c>
      <c r="D122" s="1">
        <v>1162237.4399999999</v>
      </c>
      <c r="E122" s="1">
        <f t="shared" si="10"/>
        <v>1278461.1840000001</v>
      </c>
      <c r="F122" s="1">
        <f t="shared" si="11"/>
        <v>1394684.9279999998</v>
      </c>
      <c r="G122" s="1">
        <f t="shared" si="12"/>
        <v>1627132.4159999997</v>
      </c>
      <c r="H122" s="1">
        <f t="shared" si="13"/>
        <v>1859579.9040000001</v>
      </c>
      <c r="I122" s="1">
        <f t="shared" si="14"/>
        <v>2092027.392</v>
      </c>
      <c r="J122" s="1">
        <f t="shared" si="15"/>
        <v>1046013.696</v>
      </c>
      <c r="K122" s="1">
        <f t="shared" si="16"/>
        <v>929789.95200000005</v>
      </c>
      <c r="L122" s="1">
        <f t="shared" si="17"/>
        <v>697342.46399999992</v>
      </c>
      <c r="M122" s="1">
        <f t="shared" si="18"/>
        <v>464894.97600000002</v>
      </c>
      <c r="N122" s="1">
        <f t="shared" si="19"/>
        <v>232447.48800000001</v>
      </c>
    </row>
    <row r="123" spans="1:14" x14ac:dyDescent="0.35">
      <c r="A123" t="s">
        <v>137</v>
      </c>
      <c r="B123" t="s">
        <v>2</v>
      </c>
      <c r="C123" t="s">
        <v>1</v>
      </c>
      <c r="D123" s="1">
        <v>312836.16000000003</v>
      </c>
      <c r="E123" s="1">
        <f t="shared" si="10"/>
        <v>344119.77600000007</v>
      </c>
      <c r="F123" s="1">
        <f t="shared" si="11"/>
        <v>375403.39200000005</v>
      </c>
      <c r="G123" s="1">
        <f t="shared" si="12"/>
        <v>437970.62400000001</v>
      </c>
      <c r="H123" s="1">
        <f t="shared" si="13"/>
        <v>500537.85600000009</v>
      </c>
      <c r="I123" s="1">
        <f t="shared" si="14"/>
        <v>563105.08800000011</v>
      </c>
      <c r="J123" s="1">
        <f t="shared" si="15"/>
        <v>281552.54400000005</v>
      </c>
      <c r="K123" s="1">
        <f t="shared" si="16"/>
        <v>250268.92800000004</v>
      </c>
      <c r="L123" s="1">
        <f t="shared" si="17"/>
        <v>187701.69600000003</v>
      </c>
      <c r="M123" s="1">
        <f t="shared" si="18"/>
        <v>125134.46400000002</v>
      </c>
      <c r="N123" s="1">
        <f t="shared" si="19"/>
        <v>62567.232000000011</v>
      </c>
    </row>
    <row r="124" spans="1:14" x14ac:dyDescent="0.35">
      <c r="A124" t="s">
        <v>138</v>
      </c>
      <c r="B124" t="s">
        <v>2</v>
      </c>
      <c r="C124" t="s">
        <v>1</v>
      </c>
      <c r="D124" s="1">
        <v>15588780.48</v>
      </c>
      <c r="E124" s="1">
        <f t="shared" si="10"/>
        <v>17147658.528000001</v>
      </c>
      <c r="F124" s="1">
        <f t="shared" si="11"/>
        <v>18706536.576000001</v>
      </c>
      <c r="G124" s="1">
        <f t="shared" si="12"/>
        <v>21824292.671999998</v>
      </c>
      <c r="H124" s="1">
        <f t="shared" si="13"/>
        <v>24942048.768000003</v>
      </c>
      <c r="I124" s="1">
        <f t="shared" si="14"/>
        <v>28059804.864</v>
      </c>
      <c r="J124" s="1">
        <f t="shared" si="15"/>
        <v>14029902.432</v>
      </c>
      <c r="K124" s="1">
        <f t="shared" si="16"/>
        <v>12471024.384000001</v>
      </c>
      <c r="L124" s="1">
        <f t="shared" si="17"/>
        <v>9353268.2880000006</v>
      </c>
      <c r="M124" s="1">
        <f t="shared" si="18"/>
        <v>6235512.1920000007</v>
      </c>
      <c r="N124" s="1">
        <f t="shared" si="19"/>
        <v>3117756.0960000004</v>
      </c>
    </row>
    <row r="125" spans="1:14" x14ac:dyDescent="0.35">
      <c r="A125" t="s">
        <v>139</v>
      </c>
      <c r="B125" t="s">
        <v>2</v>
      </c>
      <c r="C125" t="s">
        <v>1</v>
      </c>
      <c r="D125" s="1">
        <v>37504434.240000002</v>
      </c>
      <c r="E125" s="1">
        <f t="shared" si="10"/>
        <v>41254877.664000005</v>
      </c>
      <c r="F125" s="1">
        <f t="shared" si="11"/>
        <v>45005321.088</v>
      </c>
      <c r="G125" s="1">
        <f t="shared" si="12"/>
        <v>52506207.935999997</v>
      </c>
      <c r="H125" s="1">
        <f t="shared" si="13"/>
        <v>60007094.784000009</v>
      </c>
      <c r="I125" s="1">
        <f t="shared" si="14"/>
        <v>67507981.631999999</v>
      </c>
      <c r="J125" s="1">
        <f t="shared" si="15"/>
        <v>33753990.816</v>
      </c>
      <c r="K125" s="1">
        <f t="shared" si="16"/>
        <v>30003547.392000005</v>
      </c>
      <c r="L125" s="1">
        <f t="shared" si="17"/>
        <v>22502660.544</v>
      </c>
      <c r="M125" s="1">
        <f t="shared" si="18"/>
        <v>15001773.696000002</v>
      </c>
      <c r="N125" s="1">
        <f t="shared" si="19"/>
        <v>7500886.8480000012</v>
      </c>
    </row>
    <row r="126" spans="1:14" x14ac:dyDescent="0.35">
      <c r="A126" t="s">
        <v>140</v>
      </c>
      <c r="B126" t="s">
        <v>2</v>
      </c>
      <c r="C126" t="s">
        <v>1</v>
      </c>
      <c r="D126" s="1">
        <v>204160.32</v>
      </c>
      <c r="E126" s="1">
        <f t="shared" si="10"/>
        <v>224576.35200000001</v>
      </c>
      <c r="F126" s="1">
        <f t="shared" si="11"/>
        <v>244992.38399999999</v>
      </c>
      <c r="G126" s="1">
        <f t="shared" si="12"/>
        <v>285824.44799999997</v>
      </c>
      <c r="H126" s="1">
        <f t="shared" si="13"/>
        <v>326656.51200000005</v>
      </c>
      <c r="I126" s="1">
        <f t="shared" si="14"/>
        <v>367488.576</v>
      </c>
      <c r="J126" s="1">
        <f t="shared" si="15"/>
        <v>183744.288</v>
      </c>
      <c r="K126" s="1">
        <f t="shared" si="16"/>
        <v>163328.25600000002</v>
      </c>
      <c r="L126" s="1">
        <f t="shared" si="17"/>
        <v>122496.192</v>
      </c>
      <c r="M126" s="1">
        <f t="shared" si="18"/>
        <v>81664.128000000012</v>
      </c>
      <c r="N126" s="1">
        <f t="shared" si="19"/>
        <v>40832.064000000006</v>
      </c>
    </row>
    <row r="127" spans="1:14" x14ac:dyDescent="0.35">
      <c r="A127" t="s">
        <v>141</v>
      </c>
      <c r="B127" t="s">
        <v>2</v>
      </c>
      <c r="C127" t="s">
        <v>1</v>
      </c>
      <c r="D127" s="1">
        <v>10325952</v>
      </c>
      <c r="E127" s="1">
        <f t="shared" si="10"/>
        <v>11358547.200000001</v>
      </c>
      <c r="F127" s="1">
        <f t="shared" si="11"/>
        <v>12391142.4</v>
      </c>
      <c r="G127" s="1">
        <f t="shared" si="12"/>
        <v>14456332.799999999</v>
      </c>
      <c r="H127" s="1">
        <f t="shared" si="13"/>
        <v>16521523.200000001</v>
      </c>
      <c r="I127" s="1">
        <f t="shared" si="14"/>
        <v>18586713.600000001</v>
      </c>
      <c r="J127" s="1">
        <f t="shared" si="15"/>
        <v>9293356.8000000007</v>
      </c>
      <c r="K127" s="1">
        <f t="shared" si="16"/>
        <v>8260761.6000000006</v>
      </c>
      <c r="L127" s="1">
        <f t="shared" si="17"/>
        <v>6195571.2000000002</v>
      </c>
      <c r="M127" s="1">
        <f t="shared" si="18"/>
        <v>4130380.8000000003</v>
      </c>
      <c r="N127" s="1">
        <f t="shared" si="19"/>
        <v>2065190.4000000001</v>
      </c>
    </row>
    <row r="128" spans="1:14" x14ac:dyDescent="0.35">
      <c r="A128" t="s">
        <v>142</v>
      </c>
      <c r="B128" t="s">
        <v>2</v>
      </c>
      <c r="C128" t="s">
        <v>1</v>
      </c>
      <c r="D128" s="1">
        <v>1695395.52</v>
      </c>
      <c r="E128" s="1">
        <f t="shared" si="10"/>
        <v>1864935.0720000002</v>
      </c>
      <c r="F128" s="1">
        <f t="shared" si="11"/>
        <v>2034474.6239999998</v>
      </c>
      <c r="G128" s="1">
        <f t="shared" si="12"/>
        <v>2373553.7279999997</v>
      </c>
      <c r="H128" s="1">
        <f t="shared" si="13"/>
        <v>2712632.8320000004</v>
      </c>
      <c r="I128" s="1">
        <f t="shared" si="14"/>
        <v>3051711.9360000002</v>
      </c>
      <c r="J128" s="1">
        <f t="shared" si="15"/>
        <v>1525855.9680000001</v>
      </c>
      <c r="K128" s="1">
        <f t="shared" si="16"/>
        <v>1356316.4160000002</v>
      </c>
      <c r="L128" s="1">
        <f t="shared" si="17"/>
        <v>1017237.3119999999</v>
      </c>
      <c r="M128" s="1">
        <f t="shared" si="18"/>
        <v>678158.2080000001</v>
      </c>
      <c r="N128" s="1">
        <f t="shared" si="19"/>
        <v>339079.10400000005</v>
      </c>
    </row>
    <row r="129" spans="1:14" x14ac:dyDescent="0.35">
      <c r="A129" t="s">
        <v>143</v>
      </c>
      <c r="B129" t="s">
        <v>2</v>
      </c>
      <c r="C129" t="s">
        <v>1</v>
      </c>
      <c r="D129" s="1">
        <v>7200735.3600000003</v>
      </c>
      <c r="E129" s="1">
        <f t="shared" si="10"/>
        <v>7920808.8960000006</v>
      </c>
      <c r="F129" s="1">
        <f t="shared" si="11"/>
        <v>8640882.432</v>
      </c>
      <c r="G129" s="1">
        <f t="shared" si="12"/>
        <v>10081029.504000001</v>
      </c>
      <c r="H129" s="1">
        <f t="shared" si="13"/>
        <v>11521176.576000001</v>
      </c>
      <c r="I129" s="1">
        <f t="shared" si="14"/>
        <v>12961323.648</v>
      </c>
      <c r="J129" s="1">
        <f t="shared" si="15"/>
        <v>6480661.824</v>
      </c>
      <c r="K129" s="1">
        <f t="shared" si="16"/>
        <v>5760588.2880000006</v>
      </c>
      <c r="L129" s="1">
        <f t="shared" si="17"/>
        <v>4320441.216</v>
      </c>
      <c r="M129" s="1">
        <f t="shared" si="18"/>
        <v>2880294.1440000003</v>
      </c>
      <c r="N129" s="1">
        <f t="shared" si="19"/>
        <v>1440147.0720000002</v>
      </c>
    </row>
    <row r="130" spans="1:14" x14ac:dyDescent="0.35">
      <c r="A130" t="s">
        <v>144</v>
      </c>
      <c r="B130" t="s">
        <v>2</v>
      </c>
      <c r="C130" t="s">
        <v>1</v>
      </c>
      <c r="D130" s="1">
        <v>1470967.68</v>
      </c>
      <c r="E130" s="1">
        <f t="shared" si="10"/>
        <v>1618064.4480000001</v>
      </c>
      <c r="F130" s="1">
        <f t="shared" si="11"/>
        <v>1765161.2159999998</v>
      </c>
      <c r="G130" s="1">
        <f t="shared" si="12"/>
        <v>2059354.7519999999</v>
      </c>
      <c r="H130" s="1">
        <f t="shared" si="13"/>
        <v>2353548.2880000002</v>
      </c>
      <c r="I130" s="1">
        <f t="shared" si="14"/>
        <v>2647741.824</v>
      </c>
      <c r="J130" s="1">
        <f t="shared" si="15"/>
        <v>1323870.912</v>
      </c>
      <c r="K130" s="1">
        <f t="shared" si="16"/>
        <v>1176774.1440000001</v>
      </c>
      <c r="L130" s="1">
        <f t="shared" si="17"/>
        <v>882580.60799999989</v>
      </c>
      <c r="M130" s="1">
        <f t="shared" si="18"/>
        <v>588387.07200000004</v>
      </c>
      <c r="N130" s="1">
        <f t="shared" si="19"/>
        <v>294193.53600000002</v>
      </c>
    </row>
    <row r="131" spans="1:14" x14ac:dyDescent="0.35">
      <c r="A131" t="s">
        <v>145</v>
      </c>
      <c r="B131" t="s">
        <v>2</v>
      </c>
      <c r="C131" t="s">
        <v>1</v>
      </c>
      <c r="D131" s="1">
        <v>192803.52</v>
      </c>
      <c r="E131" s="1">
        <f t="shared" ref="E131:E160" si="20">D131*1.1</f>
        <v>212083.872</v>
      </c>
      <c r="F131" s="1">
        <f t="shared" ref="F131:F160" si="21">D131*1.2</f>
        <v>231364.22399999999</v>
      </c>
      <c r="G131" s="1">
        <f t="shared" ref="G131:G160" si="22">D131*1.4</f>
        <v>269924.92799999996</v>
      </c>
      <c r="H131" s="1">
        <f t="shared" ref="H131:H160" si="23">D131*1.6</f>
        <v>308485.63199999998</v>
      </c>
      <c r="I131" s="1">
        <f t="shared" ref="I131:I160" si="24">D131*1.8</f>
        <v>347046.33600000001</v>
      </c>
      <c r="J131" s="1">
        <f t="shared" ref="J131:J160" si="25">D131*0.9</f>
        <v>173523.16800000001</v>
      </c>
      <c r="K131" s="1">
        <f t="shared" ref="K131:K160" si="26">D131*0.8</f>
        <v>154242.81599999999</v>
      </c>
      <c r="L131" s="1">
        <f t="shared" ref="L131:L160" si="27">D131*0.6</f>
        <v>115682.11199999999</v>
      </c>
      <c r="M131" s="1">
        <f t="shared" ref="M131:M160" si="28">D131*0.4</f>
        <v>77121.407999999996</v>
      </c>
      <c r="N131" s="1">
        <f t="shared" ref="N131:N160" si="29">D131*0.2</f>
        <v>38560.703999999998</v>
      </c>
    </row>
    <row r="132" spans="1:14" x14ac:dyDescent="0.35">
      <c r="A132" t="s">
        <v>146</v>
      </c>
      <c r="B132" t="s">
        <v>2</v>
      </c>
      <c r="C132" t="s">
        <v>1</v>
      </c>
      <c r="D132" s="1">
        <v>152093.76000000001</v>
      </c>
      <c r="E132" s="1">
        <f t="shared" si="20"/>
        <v>167303.13600000003</v>
      </c>
      <c r="F132" s="1">
        <f t="shared" si="21"/>
        <v>182512.51200000002</v>
      </c>
      <c r="G132" s="1">
        <f t="shared" si="22"/>
        <v>212931.264</v>
      </c>
      <c r="H132" s="1">
        <f t="shared" si="23"/>
        <v>243350.01600000003</v>
      </c>
      <c r="I132" s="1">
        <f t="shared" si="24"/>
        <v>273768.76800000004</v>
      </c>
      <c r="J132" s="1">
        <f t="shared" si="25"/>
        <v>136884.38400000002</v>
      </c>
      <c r="K132" s="1">
        <f t="shared" si="26"/>
        <v>121675.00800000002</v>
      </c>
      <c r="L132" s="1">
        <f t="shared" si="27"/>
        <v>91256.256000000008</v>
      </c>
      <c r="M132" s="1">
        <f t="shared" si="28"/>
        <v>60837.504000000008</v>
      </c>
      <c r="N132" s="1">
        <f t="shared" si="29"/>
        <v>30418.752000000004</v>
      </c>
    </row>
    <row r="133" spans="1:14" x14ac:dyDescent="0.35">
      <c r="A133" t="s">
        <v>147</v>
      </c>
      <c r="B133" t="s">
        <v>2</v>
      </c>
      <c r="C133" t="s">
        <v>1</v>
      </c>
      <c r="D133" s="1">
        <v>1138562.8800000001</v>
      </c>
      <c r="E133" s="1">
        <f t="shared" si="20"/>
        <v>1252419.1680000003</v>
      </c>
      <c r="F133" s="1">
        <f t="shared" si="21"/>
        <v>1366275.456</v>
      </c>
      <c r="G133" s="1">
        <f t="shared" si="22"/>
        <v>1593988.0320000001</v>
      </c>
      <c r="H133" s="1">
        <f t="shared" si="23"/>
        <v>1821700.6080000002</v>
      </c>
      <c r="I133" s="1">
        <f t="shared" si="24"/>
        <v>2049413.1840000004</v>
      </c>
      <c r="J133" s="1">
        <f t="shared" si="25"/>
        <v>1024706.5920000002</v>
      </c>
      <c r="K133" s="1">
        <f t="shared" si="26"/>
        <v>910850.30400000012</v>
      </c>
      <c r="L133" s="1">
        <f t="shared" si="27"/>
        <v>683137.728</v>
      </c>
      <c r="M133" s="1">
        <f t="shared" si="28"/>
        <v>455425.15200000006</v>
      </c>
      <c r="N133" s="1">
        <f t="shared" si="29"/>
        <v>227712.57600000003</v>
      </c>
    </row>
    <row r="134" spans="1:14" x14ac:dyDescent="0.35">
      <c r="A134" t="s">
        <v>148</v>
      </c>
      <c r="B134" t="s">
        <v>2</v>
      </c>
      <c r="C134" t="s">
        <v>1</v>
      </c>
      <c r="D134" s="1">
        <v>10240164.48</v>
      </c>
      <c r="E134" s="1">
        <f t="shared" si="20"/>
        <v>11264180.928000001</v>
      </c>
      <c r="F134" s="1">
        <f t="shared" si="21"/>
        <v>12288197.376</v>
      </c>
      <c r="G134" s="1">
        <f t="shared" si="22"/>
        <v>14336230.272</v>
      </c>
      <c r="H134" s="1">
        <f t="shared" si="23"/>
        <v>16384263.168000001</v>
      </c>
      <c r="I134" s="1">
        <f t="shared" si="24"/>
        <v>18432296.064000003</v>
      </c>
      <c r="J134" s="1">
        <f t="shared" si="25"/>
        <v>9216148.0320000015</v>
      </c>
      <c r="K134" s="1">
        <f t="shared" si="26"/>
        <v>8192131.5840000007</v>
      </c>
      <c r="L134" s="1">
        <f t="shared" si="27"/>
        <v>6144098.6880000001</v>
      </c>
      <c r="M134" s="1">
        <f t="shared" si="28"/>
        <v>4096065.7920000004</v>
      </c>
      <c r="N134" s="1">
        <f t="shared" si="29"/>
        <v>2048032.8960000002</v>
      </c>
    </row>
    <row r="135" spans="1:14" x14ac:dyDescent="0.35">
      <c r="A135" t="s">
        <v>149</v>
      </c>
      <c r="B135" t="s">
        <v>2</v>
      </c>
      <c r="C135" t="s">
        <v>1</v>
      </c>
      <c r="D135" s="1">
        <v>323581.44</v>
      </c>
      <c r="E135" s="1">
        <f t="shared" si="20"/>
        <v>355939.58400000003</v>
      </c>
      <c r="F135" s="1">
        <f t="shared" si="21"/>
        <v>388297.728</v>
      </c>
      <c r="G135" s="1">
        <f t="shared" si="22"/>
        <v>453014.016</v>
      </c>
      <c r="H135" s="1">
        <f t="shared" si="23"/>
        <v>517730.304</v>
      </c>
      <c r="I135" s="1">
        <f t="shared" si="24"/>
        <v>582446.59200000006</v>
      </c>
      <c r="J135" s="1">
        <f t="shared" si="25"/>
        <v>291223.29600000003</v>
      </c>
      <c r="K135" s="1">
        <f t="shared" si="26"/>
        <v>258865.152</v>
      </c>
      <c r="L135" s="1">
        <f t="shared" si="27"/>
        <v>194148.864</v>
      </c>
      <c r="M135" s="1">
        <f t="shared" si="28"/>
        <v>129432.576</v>
      </c>
      <c r="N135" s="1">
        <f t="shared" si="29"/>
        <v>64716.288</v>
      </c>
    </row>
    <row r="136" spans="1:14" x14ac:dyDescent="0.35">
      <c r="A136" t="s">
        <v>150</v>
      </c>
      <c r="B136" t="s">
        <v>2</v>
      </c>
      <c r="C136" t="s">
        <v>1</v>
      </c>
      <c r="D136" s="1">
        <v>3886384.32</v>
      </c>
      <c r="E136" s="1">
        <f t="shared" si="20"/>
        <v>4275022.7520000003</v>
      </c>
      <c r="F136" s="1">
        <f t="shared" si="21"/>
        <v>4663661.1839999994</v>
      </c>
      <c r="G136" s="1">
        <f t="shared" si="22"/>
        <v>5440938.0479999995</v>
      </c>
      <c r="H136" s="1">
        <f t="shared" si="23"/>
        <v>6218214.9120000005</v>
      </c>
      <c r="I136" s="1">
        <f t="shared" si="24"/>
        <v>6995491.7759999996</v>
      </c>
      <c r="J136" s="1">
        <f t="shared" si="25"/>
        <v>3497745.8879999998</v>
      </c>
      <c r="K136" s="1">
        <f t="shared" si="26"/>
        <v>3109107.4560000002</v>
      </c>
      <c r="L136" s="1">
        <f t="shared" si="27"/>
        <v>2331830.5919999997</v>
      </c>
      <c r="M136" s="1">
        <f t="shared" si="28"/>
        <v>1554553.7280000001</v>
      </c>
      <c r="N136" s="1">
        <f t="shared" si="29"/>
        <v>777276.86400000006</v>
      </c>
    </row>
    <row r="137" spans="1:14" x14ac:dyDescent="0.35">
      <c r="A137" t="s">
        <v>151</v>
      </c>
      <c r="B137" t="s">
        <v>2</v>
      </c>
      <c r="C137" t="s">
        <v>1</v>
      </c>
      <c r="D137" s="1">
        <v>233688</v>
      </c>
      <c r="E137" s="1">
        <f t="shared" si="20"/>
        <v>257056.80000000002</v>
      </c>
      <c r="F137" s="1">
        <f t="shared" si="21"/>
        <v>280425.59999999998</v>
      </c>
      <c r="G137" s="1">
        <f t="shared" si="22"/>
        <v>327163.19999999995</v>
      </c>
      <c r="H137" s="1">
        <f t="shared" si="23"/>
        <v>373900.80000000005</v>
      </c>
      <c r="I137" s="1">
        <f t="shared" si="24"/>
        <v>420638.4</v>
      </c>
      <c r="J137" s="1">
        <f t="shared" si="25"/>
        <v>210319.2</v>
      </c>
      <c r="K137" s="1">
        <f t="shared" si="26"/>
        <v>186950.40000000002</v>
      </c>
      <c r="L137" s="1">
        <f t="shared" si="27"/>
        <v>140212.79999999999</v>
      </c>
      <c r="M137" s="1">
        <f t="shared" si="28"/>
        <v>93475.200000000012</v>
      </c>
      <c r="N137" s="1">
        <f t="shared" si="29"/>
        <v>46737.600000000006</v>
      </c>
    </row>
    <row r="138" spans="1:14" x14ac:dyDescent="0.35">
      <c r="A138" t="s">
        <v>152</v>
      </c>
      <c r="B138" t="s">
        <v>2</v>
      </c>
      <c r="C138" t="s">
        <v>1</v>
      </c>
      <c r="D138" s="1">
        <v>12316886.4</v>
      </c>
      <c r="E138" s="1">
        <f t="shared" si="20"/>
        <v>13548575.040000001</v>
      </c>
      <c r="F138" s="1">
        <f t="shared" si="21"/>
        <v>14780263.68</v>
      </c>
      <c r="G138" s="1">
        <f t="shared" si="22"/>
        <v>17243640.960000001</v>
      </c>
      <c r="H138" s="1">
        <f t="shared" si="23"/>
        <v>19707018.240000002</v>
      </c>
      <c r="I138" s="1">
        <f t="shared" si="24"/>
        <v>22170395.52</v>
      </c>
      <c r="J138" s="1">
        <f t="shared" si="25"/>
        <v>11085197.76</v>
      </c>
      <c r="K138" s="1">
        <f t="shared" si="26"/>
        <v>9853509.120000001</v>
      </c>
      <c r="L138" s="1">
        <f t="shared" si="27"/>
        <v>7390131.8399999999</v>
      </c>
      <c r="M138" s="1">
        <f t="shared" si="28"/>
        <v>4926754.5600000005</v>
      </c>
      <c r="N138" s="1">
        <f t="shared" si="29"/>
        <v>2463377.2800000003</v>
      </c>
    </row>
    <row r="139" spans="1:14" x14ac:dyDescent="0.35">
      <c r="A139" t="s">
        <v>153</v>
      </c>
      <c r="B139" t="s">
        <v>2</v>
      </c>
      <c r="C139" t="s">
        <v>1</v>
      </c>
      <c r="D139" s="1">
        <v>1358360.6400000001</v>
      </c>
      <c r="E139" s="1">
        <f t="shared" si="20"/>
        <v>1494196.7040000004</v>
      </c>
      <c r="F139" s="1">
        <f t="shared" si="21"/>
        <v>1630032.7680000002</v>
      </c>
      <c r="G139" s="1">
        <f t="shared" si="22"/>
        <v>1901704.8959999999</v>
      </c>
      <c r="H139" s="1">
        <f t="shared" si="23"/>
        <v>2173377.0240000002</v>
      </c>
      <c r="I139" s="1">
        <f t="shared" si="24"/>
        <v>2445049.1520000002</v>
      </c>
      <c r="J139" s="1">
        <f t="shared" si="25"/>
        <v>1222524.5760000001</v>
      </c>
      <c r="K139" s="1">
        <f t="shared" si="26"/>
        <v>1086688.5120000001</v>
      </c>
      <c r="L139" s="1">
        <f t="shared" si="27"/>
        <v>815016.38400000008</v>
      </c>
      <c r="M139" s="1">
        <f t="shared" si="28"/>
        <v>543344.25600000005</v>
      </c>
      <c r="N139" s="1">
        <f t="shared" si="29"/>
        <v>271672.12800000003</v>
      </c>
    </row>
    <row r="140" spans="1:14" x14ac:dyDescent="0.35">
      <c r="A140" t="s">
        <v>154</v>
      </c>
      <c r="B140" t="s">
        <v>2</v>
      </c>
      <c r="C140" t="s">
        <v>1</v>
      </c>
      <c r="D140" s="1">
        <v>1776552.9600000002</v>
      </c>
      <c r="E140" s="1">
        <f t="shared" si="20"/>
        <v>1954208.2560000003</v>
      </c>
      <c r="F140" s="1">
        <f t="shared" si="21"/>
        <v>2131863.5520000001</v>
      </c>
      <c r="G140" s="1">
        <f t="shared" si="22"/>
        <v>2487174.1440000003</v>
      </c>
      <c r="H140" s="1">
        <f t="shared" si="23"/>
        <v>2842484.7360000005</v>
      </c>
      <c r="I140" s="1">
        <f t="shared" si="24"/>
        <v>3197795.3280000002</v>
      </c>
      <c r="J140" s="1">
        <f t="shared" si="25"/>
        <v>1598897.6640000001</v>
      </c>
      <c r="K140" s="1">
        <f t="shared" si="26"/>
        <v>1421242.3680000002</v>
      </c>
      <c r="L140" s="1">
        <f t="shared" si="27"/>
        <v>1065931.7760000001</v>
      </c>
      <c r="M140" s="1">
        <f t="shared" si="28"/>
        <v>710621.18400000012</v>
      </c>
      <c r="N140" s="1">
        <f t="shared" si="29"/>
        <v>355310.59200000006</v>
      </c>
    </row>
    <row r="141" spans="1:14" x14ac:dyDescent="0.35">
      <c r="A141" t="s">
        <v>155</v>
      </c>
      <c r="B141" t="s">
        <v>2</v>
      </c>
      <c r="C141" t="s">
        <v>1</v>
      </c>
      <c r="D141" s="1">
        <v>1493681.2799999998</v>
      </c>
      <c r="E141" s="1">
        <f t="shared" si="20"/>
        <v>1643049.4079999998</v>
      </c>
      <c r="F141" s="1">
        <f t="shared" si="21"/>
        <v>1792417.5359999996</v>
      </c>
      <c r="G141" s="1">
        <f t="shared" si="22"/>
        <v>2091153.7919999997</v>
      </c>
      <c r="H141" s="1">
        <f t="shared" si="23"/>
        <v>2389890.048</v>
      </c>
      <c r="I141" s="1">
        <f t="shared" si="24"/>
        <v>2688626.3039999995</v>
      </c>
      <c r="J141" s="1">
        <f t="shared" si="25"/>
        <v>1344313.1519999998</v>
      </c>
      <c r="K141" s="1">
        <f t="shared" si="26"/>
        <v>1194945.024</v>
      </c>
      <c r="L141" s="1">
        <f t="shared" si="27"/>
        <v>896208.76799999981</v>
      </c>
      <c r="M141" s="1">
        <f t="shared" si="28"/>
        <v>597472.51199999999</v>
      </c>
      <c r="N141" s="1">
        <f t="shared" si="29"/>
        <v>298736.25599999999</v>
      </c>
    </row>
    <row r="142" spans="1:14" x14ac:dyDescent="0.35">
      <c r="A142" t="s">
        <v>156</v>
      </c>
      <c r="B142" t="s">
        <v>2</v>
      </c>
      <c r="C142" t="s">
        <v>1</v>
      </c>
      <c r="D142" s="1">
        <v>763526.4</v>
      </c>
      <c r="E142" s="1">
        <f t="shared" si="20"/>
        <v>839879.04</v>
      </c>
      <c r="F142" s="1">
        <f t="shared" si="21"/>
        <v>916231.68000000005</v>
      </c>
      <c r="G142" s="1">
        <f t="shared" si="22"/>
        <v>1068936.96</v>
      </c>
      <c r="H142" s="1">
        <f t="shared" si="23"/>
        <v>1221642.24</v>
      </c>
      <c r="I142" s="1">
        <f t="shared" si="24"/>
        <v>1374347.52</v>
      </c>
      <c r="J142" s="1">
        <f t="shared" si="25"/>
        <v>687173.76</v>
      </c>
      <c r="K142" s="1">
        <f t="shared" si="26"/>
        <v>610821.12</v>
      </c>
      <c r="L142" s="1">
        <f t="shared" si="27"/>
        <v>458115.84000000003</v>
      </c>
      <c r="M142" s="1">
        <f t="shared" si="28"/>
        <v>305410.56</v>
      </c>
      <c r="N142" s="1">
        <f t="shared" si="29"/>
        <v>152705.28</v>
      </c>
    </row>
    <row r="143" spans="1:14" x14ac:dyDescent="0.35">
      <c r="A143" t="s">
        <v>157</v>
      </c>
      <c r="B143" t="s">
        <v>2</v>
      </c>
      <c r="C143" t="s">
        <v>1</v>
      </c>
      <c r="D143" s="1">
        <v>1171759.68</v>
      </c>
      <c r="E143" s="1">
        <f t="shared" si="20"/>
        <v>1288935.648</v>
      </c>
      <c r="F143" s="1">
        <f t="shared" si="21"/>
        <v>1406111.6159999999</v>
      </c>
      <c r="G143" s="1">
        <f t="shared" si="22"/>
        <v>1640463.5519999999</v>
      </c>
      <c r="H143" s="1">
        <f t="shared" si="23"/>
        <v>1874815.4879999999</v>
      </c>
      <c r="I143" s="1">
        <f t="shared" si="24"/>
        <v>2109167.4240000001</v>
      </c>
      <c r="J143" s="1">
        <f t="shared" si="25"/>
        <v>1054583.7120000001</v>
      </c>
      <c r="K143" s="1">
        <f t="shared" si="26"/>
        <v>937407.74399999995</v>
      </c>
      <c r="L143" s="1">
        <f t="shared" si="27"/>
        <v>703055.80799999996</v>
      </c>
      <c r="M143" s="1">
        <f t="shared" si="28"/>
        <v>468703.87199999997</v>
      </c>
      <c r="N143" s="1">
        <f t="shared" si="29"/>
        <v>234351.93599999999</v>
      </c>
    </row>
    <row r="144" spans="1:14" x14ac:dyDescent="0.35">
      <c r="A144" t="s">
        <v>158</v>
      </c>
      <c r="B144" t="s">
        <v>2</v>
      </c>
      <c r="C144" t="s">
        <v>1</v>
      </c>
      <c r="D144" s="1">
        <v>1135505.2799999998</v>
      </c>
      <c r="E144" s="1">
        <f t="shared" si="20"/>
        <v>1249055.808</v>
      </c>
      <c r="F144" s="1">
        <f t="shared" si="21"/>
        <v>1362606.3359999997</v>
      </c>
      <c r="G144" s="1">
        <f t="shared" si="22"/>
        <v>1589707.3919999995</v>
      </c>
      <c r="H144" s="1">
        <f t="shared" si="23"/>
        <v>1816808.4479999999</v>
      </c>
      <c r="I144" s="1">
        <f t="shared" si="24"/>
        <v>2043909.5039999997</v>
      </c>
      <c r="J144" s="1">
        <f t="shared" si="25"/>
        <v>1021954.7519999999</v>
      </c>
      <c r="K144" s="1">
        <f t="shared" si="26"/>
        <v>908404.22399999993</v>
      </c>
      <c r="L144" s="1">
        <f t="shared" si="27"/>
        <v>681303.16799999983</v>
      </c>
      <c r="M144" s="1">
        <f t="shared" si="28"/>
        <v>454202.11199999996</v>
      </c>
      <c r="N144" s="1">
        <f t="shared" si="29"/>
        <v>227101.05599999998</v>
      </c>
    </row>
    <row r="145" spans="1:19" x14ac:dyDescent="0.35">
      <c r="A145" t="s">
        <v>159</v>
      </c>
      <c r="B145" t="s">
        <v>2</v>
      </c>
      <c r="C145" t="s">
        <v>1</v>
      </c>
      <c r="D145" s="1">
        <v>1387451.52</v>
      </c>
      <c r="E145" s="1">
        <f t="shared" si="20"/>
        <v>1526196.6720000003</v>
      </c>
      <c r="F145" s="1">
        <f t="shared" si="21"/>
        <v>1664941.824</v>
      </c>
      <c r="G145" s="1">
        <f t="shared" si="22"/>
        <v>1942432.1279999998</v>
      </c>
      <c r="H145" s="1">
        <f t="shared" si="23"/>
        <v>2219922.432</v>
      </c>
      <c r="I145" s="1">
        <f t="shared" si="24"/>
        <v>2497412.736</v>
      </c>
      <c r="J145" s="1">
        <f t="shared" si="25"/>
        <v>1248706.368</v>
      </c>
      <c r="K145" s="1">
        <f t="shared" si="26"/>
        <v>1109961.216</v>
      </c>
      <c r="L145" s="1">
        <f t="shared" si="27"/>
        <v>832470.91200000001</v>
      </c>
      <c r="M145" s="1">
        <f t="shared" si="28"/>
        <v>554980.60800000001</v>
      </c>
      <c r="N145" s="1">
        <f t="shared" si="29"/>
        <v>277490.304</v>
      </c>
    </row>
    <row r="146" spans="1:19" x14ac:dyDescent="0.35">
      <c r="A146" t="s">
        <v>160</v>
      </c>
      <c r="B146" t="s">
        <v>2</v>
      </c>
      <c r="C146" t="s">
        <v>1</v>
      </c>
      <c r="D146" s="1">
        <v>40904048.640000001</v>
      </c>
      <c r="E146" s="1">
        <f t="shared" si="20"/>
        <v>44994453.504000001</v>
      </c>
      <c r="F146" s="1">
        <f t="shared" si="21"/>
        <v>49084858.368000001</v>
      </c>
      <c r="G146" s="1">
        <f t="shared" si="22"/>
        <v>57265668.096000001</v>
      </c>
      <c r="H146" s="1">
        <f t="shared" si="23"/>
        <v>65446477.824000001</v>
      </c>
      <c r="I146" s="1">
        <f t="shared" si="24"/>
        <v>73627287.552000001</v>
      </c>
      <c r="J146" s="1">
        <f t="shared" si="25"/>
        <v>36813643.776000001</v>
      </c>
      <c r="K146" s="1">
        <f t="shared" si="26"/>
        <v>32723238.912</v>
      </c>
      <c r="L146" s="1">
        <f t="shared" si="27"/>
        <v>24542429.184</v>
      </c>
      <c r="M146" s="1">
        <f t="shared" si="28"/>
        <v>16361619.456</v>
      </c>
      <c r="N146" s="1">
        <f t="shared" si="29"/>
        <v>8180809.7280000001</v>
      </c>
      <c r="S146" s="6"/>
    </row>
    <row r="147" spans="1:19" x14ac:dyDescent="0.35">
      <c r="A147" t="s">
        <v>161</v>
      </c>
      <c r="B147" t="s">
        <v>2</v>
      </c>
      <c r="C147" t="s">
        <v>1</v>
      </c>
      <c r="D147" s="1">
        <v>1027353.6</v>
      </c>
      <c r="E147" s="1">
        <f t="shared" si="20"/>
        <v>1130088.96</v>
      </c>
      <c r="F147" s="1">
        <f t="shared" si="21"/>
        <v>1232824.3199999998</v>
      </c>
      <c r="G147" s="1">
        <f t="shared" si="22"/>
        <v>1438295.0399999998</v>
      </c>
      <c r="H147" s="1">
        <f t="shared" si="23"/>
        <v>1643765.76</v>
      </c>
      <c r="I147" s="1">
        <f t="shared" si="24"/>
        <v>1849236.48</v>
      </c>
      <c r="J147" s="1">
        <f t="shared" si="25"/>
        <v>924618.23999999999</v>
      </c>
      <c r="K147" s="1">
        <f t="shared" si="26"/>
        <v>821882.88</v>
      </c>
      <c r="L147" s="1">
        <f t="shared" si="27"/>
        <v>616412.15999999992</v>
      </c>
      <c r="M147" s="1">
        <f t="shared" si="28"/>
        <v>410941.44</v>
      </c>
      <c r="N147" s="1">
        <f t="shared" si="29"/>
        <v>205470.72</v>
      </c>
    </row>
    <row r="148" spans="1:19" x14ac:dyDescent="0.35">
      <c r="A148" t="s">
        <v>162</v>
      </c>
      <c r="B148" t="s">
        <v>2</v>
      </c>
      <c r="C148" t="s">
        <v>1</v>
      </c>
      <c r="D148" s="1">
        <v>3185495.04</v>
      </c>
      <c r="E148" s="1">
        <f t="shared" si="20"/>
        <v>3504044.5440000002</v>
      </c>
      <c r="F148" s="1">
        <f t="shared" si="21"/>
        <v>3822594.048</v>
      </c>
      <c r="G148" s="1">
        <f t="shared" si="22"/>
        <v>4459693.0559999999</v>
      </c>
      <c r="H148" s="1">
        <f t="shared" si="23"/>
        <v>5096792.0640000002</v>
      </c>
      <c r="I148" s="1">
        <f t="shared" si="24"/>
        <v>5733891.0720000006</v>
      </c>
      <c r="J148" s="1">
        <f t="shared" si="25"/>
        <v>2866945.5360000003</v>
      </c>
      <c r="K148" s="1">
        <f t="shared" si="26"/>
        <v>2548396.0320000001</v>
      </c>
      <c r="L148" s="1">
        <f t="shared" si="27"/>
        <v>1911297.024</v>
      </c>
      <c r="M148" s="1">
        <f t="shared" si="28"/>
        <v>1274198.0160000001</v>
      </c>
      <c r="N148" s="1">
        <f t="shared" si="29"/>
        <v>637099.00800000003</v>
      </c>
    </row>
    <row r="149" spans="1:19" x14ac:dyDescent="0.35">
      <c r="A149" t="s">
        <v>163</v>
      </c>
      <c r="B149" t="s">
        <v>2</v>
      </c>
      <c r="C149" t="s">
        <v>1</v>
      </c>
      <c r="D149" s="1">
        <v>2563666.5599999996</v>
      </c>
      <c r="E149" s="1">
        <f t="shared" si="20"/>
        <v>2820033.2159999995</v>
      </c>
      <c r="F149" s="1">
        <f t="shared" si="21"/>
        <v>3076399.8719999995</v>
      </c>
      <c r="G149" s="1">
        <f t="shared" si="22"/>
        <v>3589133.1839999994</v>
      </c>
      <c r="H149" s="1">
        <f t="shared" si="23"/>
        <v>4101866.4959999993</v>
      </c>
      <c r="I149" s="1">
        <f t="shared" si="24"/>
        <v>4614599.8079999993</v>
      </c>
      <c r="J149" s="1">
        <f t="shared" si="25"/>
        <v>2307299.9039999996</v>
      </c>
      <c r="K149" s="1">
        <f t="shared" si="26"/>
        <v>2050933.2479999997</v>
      </c>
      <c r="L149" s="1">
        <f t="shared" si="27"/>
        <v>1538199.9359999998</v>
      </c>
      <c r="M149" s="1">
        <f t="shared" si="28"/>
        <v>1025466.6239999998</v>
      </c>
      <c r="N149" s="1">
        <f t="shared" si="29"/>
        <v>512733.31199999992</v>
      </c>
    </row>
    <row r="150" spans="1:19" x14ac:dyDescent="0.35">
      <c r="A150" t="s">
        <v>164</v>
      </c>
      <c r="B150" t="s">
        <v>2</v>
      </c>
      <c r="C150" t="s">
        <v>1</v>
      </c>
      <c r="D150" s="1">
        <v>389800.31999999995</v>
      </c>
      <c r="E150" s="1">
        <f t="shared" si="20"/>
        <v>428780.35199999996</v>
      </c>
      <c r="F150" s="1">
        <f t="shared" si="21"/>
        <v>467760.3839999999</v>
      </c>
      <c r="G150" s="1">
        <f t="shared" si="22"/>
        <v>545720.44799999986</v>
      </c>
      <c r="H150" s="1">
        <f t="shared" si="23"/>
        <v>623680.51199999999</v>
      </c>
      <c r="I150" s="1">
        <f t="shared" si="24"/>
        <v>701640.57599999988</v>
      </c>
      <c r="J150" s="1">
        <f t="shared" si="25"/>
        <v>350820.28799999994</v>
      </c>
      <c r="K150" s="1">
        <f t="shared" si="26"/>
        <v>311840.25599999999</v>
      </c>
      <c r="L150" s="1">
        <f t="shared" si="27"/>
        <v>233880.19199999995</v>
      </c>
      <c r="M150" s="1">
        <f t="shared" si="28"/>
        <v>155920.128</v>
      </c>
      <c r="N150" s="1">
        <f t="shared" si="29"/>
        <v>77960.063999999998</v>
      </c>
    </row>
    <row r="151" spans="1:19" x14ac:dyDescent="0.35">
      <c r="A151" t="s">
        <v>165</v>
      </c>
      <c r="B151" t="s">
        <v>2</v>
      </c>
      <c r="C151" t="s">
        <v>1</v>
      </c>
      <c r="D151" s="1">
        <v>676777.92</v>
      </c>
      <c r="E151" s="1">
        <f t="shared" si="20"/>
        <v>744455.71200000006</v>
      </c>
      <c r="F151" s="1">
        <f t="shared" si="21"/>
        <v>812133.50400000007</v>
      </c>
      <c r="G151" s="1">
        <f t="shared" si="22"/>
        <v>947489.08799999999</v>
      </c>
      <c r="H151" s="1">
        <f t="shared" si="23"/>
        <v>1082844.672</v>
      </c>
      <c r="I151" s="1">
        <f t="shared" si="24"/>
        <v>1218200.2560000001</v>
      </c>
      <c r="J151" s="1">
        <f t="shared" si="25"/>
        <v>609100.12800000003</v>
      </c>
      <c r="K151" s="1">
        <f t="shared" si="26"/>
        <v>541422.33600000001</v>
      </c>
      <c r="L151" s="1">
        <f t="shared" si="27"/>
        <v>406066.75200000004</v>
      </c>
      <c r="M151" s="1">
        <f t="shared" si="28"/>
        <v>270711.16800000001</v>
      </c>
      <c r="N151" s="1">
        <f t="shared" si="29"/>
        <v>135355.584</v>
      </c>
    </row>
    <row r="152" spans="1:19" x14ac:dyDescent="0.35">
      <c r="A152" t="s">
        <v>166</v>
      </c>
      <c r="B152" t="s">
        <v>2</v>
      </c>
      <c r="C152" t="s">
        <v>1</v>
      </c>
      <c r="D152" s="1">
        <v>458552.64</v>
      </c>
      <c r="E152" s="1">
        <f t="shared" si="20"/>
        <v>504407.90400000004</v>
      </c>
      <c r="F152" s="1">
        <f t="shared" si="21"/>
        <v>550263.16799999995</v>
      </c>
      <c r="G152" s="1">
        <f t="shared" si="22"/>
        <v>641973.696</v>
      </c>
      <c r="H152" s="1">
        <f t="shared" si="23"/>
        <v>733684.22400000005</v>
      </c>
      <c r="I152" s="1">
        <f t="shared" si="24"/>
        <v>825394.75200000009</v>
      </c>
      <c r="J152" s="1">
        <f t="shared" si="25"/>
        <v>412697.37600000005</v>
      </c>
      <c r="K152" s="1">
        <f t="shared" si="26"/>
        <v>366842.11200000002</v>
      </c>
      <c r="L152" s="1">
        <f t="shared" si="27"/>
        <v>275131.58399999997</v>
      </c>
      <c r="M152" s="1">
        <f t="shared" si="28"/>
        <v>183421.05600000001</v>
      </c>
      <c r="N152" s="1">
        <f t="shared" si="29"/>
        <v>91710.528000000006</v>
      </c>
    </row>
    <row r="153" spans="1:19" x14ac:dyDescent="0.35">
      <c r="A153" t="s">
        <v>167</v>
      </c>
      <c r="B153" t="s">
        <v>2</v>
      </c>
      <c r="C153" t="s">
        <v>1</v>
      </c>
      <c r="D153" s="1">
        <v>1093223.04</v>
      </c>
      <c r="E153" s="1">
        <f t="shared" si="20"/>
        <v>1202545.344</v>
      </c>
      <c r="F153" s="1">
        <f t="shared" si="21"/>
        <v>1311867.648</v>
      </c>
      <c r="G153" s="1">
        <f t="shared" si="22"/>
        <v>1530512.2560000001</v>
      </c>
      <c r="H153" s="1">
        <f t="shared" si="23"/>
        <v>1749156.8640000001</v>
      </c>
      <c r="I153" s="1">
        <f t="shared" si="24"/>
        <v>1967801.4720000001</v>
      </c>
      <c r="J153" s="1">
        <f t="shared" si="25"/>
        <v>983900.73600000003</v>
      </c>
      <c r="K153" s="1">
        <f t="shared" si="26"/>
        <v>874578.43200000003</v>
      </c>
      <c r="L153" s="1">
        <f t="shared" si="27"/>
        <v>655933.82400000002</v>
      </c>
      <c r="M153" s="1">
        <f t="shared" si="28"/>
        <v>437289.21600000001</v>
      </c>
      <c r="N153" s="1">
        <f t="shared" si="29"/>
        <v>218644.60800000001</v>
      </c>
    </row>
    <row r="154" spans="1:19" x14ac:dyDescent="0.35">
      <c r="A154" t="s">
        <v>168</v>
      </c>
      <c r="B154" t="s">
        <v>2</v>
      </c>
      <c r="C154" t="s">
        <v>1</v>
      </c>
      <c r="D154" s="1">
        <v>780736.32000000007</v>
      </c>
      <c r="E154" s="1">
        <f t="shared" si="20"/>
        <v>858809.95200000016</v>
      </c>
      <c r="F154" s="1">
        <f t="shared" si="21"/>
        <v>936883.58400000003</v>
      </c>
      <c r="G154" s="1">
        <f t="shared" si="22"/>
        <v>1093030.848</v>
      </c>
      <c r="H154" s="1">
        <f t="shared" si="23"/>
        <v>1249178.1120000002</v>
      </c>
      <c r="I154" s="1">
        <f t="shared" si="24"/>
        <v>1405325.3760000002</v>
      </c>
      <c r="J154" s="1">
        <f t="shared" si="25"/>
        <v>702662.68800000008</v>
      </c>
      <c r="K154" s="1">
        <f t="shared" si="26"/>
        <v>624589.0560000001</v>
      </c>
      <c r="L154" s="1">
        <f t="shared" si="27"/>
        <v>468441.79200000002</v>
      </c>
      <c r="M154" s="1">
        <f t="shared" si="28"/>
        <v>312294.52800000005</v>
      </c>
      <c r="N154" s="1">
        <f t="shared" si="29"/>
        <v>156147.26400000002</v>
      </c>
    </row>
    <row r="155" spans="1:19" x14ac:dyDescent="0.35">
      <c r="A155" t="s">
        <v>169</v>
      </c>
      <c r="B155" t="s">
        <v>2</v>
      </c>
      <c r="C155" t="s">
        <v>1</v>
      </c>
      <c r="D155" s="1">
        <v>4346771.5199999996</v>
      </c>
      <c r="E155" s="1">
        <f t="shared" si="20"/>
        <v>4781448.6720000003</v>
      </c>
      <c r="F155" s="1">
        <f t="shared" si="21"/>
        <v>5216125.8239999991</v>
      </c>
      <c r="G155" s="1">
        <f t="shared" si="22"/>
        <v>6085480.1279999986</v>
      </c>
      <c r="H155" s="1">
        <f t="shared" si="23"/>
        <v>6954834.432</v>
      </c>
      <c r="I155" s="1">
        <f t="shared" si="24"/>
        <v>7824188.7359999996</v>
      </c>
      <c r="J155" s="1">
        <f t="shared" si="25"/>
        <v>3912094.3679999998</v>
      </c>
      <c r="K155" s="1">
        <f t="shared" si="26"/>
        <v>3477417.216</v>
      </c>
      <c r="L155" s="1">
        <f t="shared" si="27"/>
        <v>2608062.9119999995</v>
      </c>
      <c r="M155" s="1">
        <f t="shared" si="28"/>
        <v>1738708.608</v>
      </c>
      <c r="N155" s="1">
        <f t="shared" si="29"/>
        <v>869354.304</v>
      </c>
    </row>
    <row r="156" spans="1:19" x14ac:dyDescent="0.35">
      <c r="A156" t="s">
        <v>170</v>
      </c>
      <c r="B156" t="s">
        <v>2</v>
      </c>
      <c r="C156" t="s">
        <v>1</v>
      </c>
      <c r="D156" s="1">
        <v>6289483.2000000002</v>
      </c>
      <c r="E156" s="1">
        <f t="shared" si="20"/>
        <v>6918431.5200000005</v>
      </c>
      <c r="F156" s="1">
        <f t="shared" si="21"/>
        <v>7547379.8399999999</v>
      </c>
      <c r="G156" s="1">
        <f t="shared" si="22"/>
        <v>8805276.4800000004</v>
      </c>
      <c r="H156" s="1">
        <f t="shared" si="23"/>
        <v>10063173.120000001</v>
      </c>
      <c r="I156" s="1">
        <f t="shared" si="24"/>
        <v>11321069.76</v>
      </c>
      <c r="J156" s="1">
        <f t="shared" si="25"/>
        <v>5660534.8799999999</v>
      </c>
      <c r="K156" s="1">
        <f t="shared" si="26"/>
        <v>5031586.5600000005</v>
      </c>
      <c r="L156" s="1">
        <f t="shared" si="27"/>
        <v>3773689.92</v>
      </c>
      <c r="M156" s="1">
        <f t="shared" si="28"/>
        <v>2515793.2800000003</v>
      </c>
      <c r="N156" s="1">
        <f t="shared" si="29"/>
        <v>1257896.6400000001</v>
      </c>
    </row>
    <row r="157" spans="1:19" x14ac:dyDescent="0.35">
      <c r="A157" t="s">
        <v>171</v>
      </c>
      <c r="B157" t="s">
        <v>2</v>
      </c>
      <c r="C157" t="s">
        <v>1</v>
      </c>
      <c r="D157" s="1">
        <v>3752374.0799999996</v>
      </c>
      <c r="E157" s="1">
        <f t="shared" si="20"/>
        <v>4127611.4879999999</v>
      </c>
      <c r="F157" s="1">
        <f t="shared" si="21"/>
        <v>4502848.8959999997</v>
      </c>
      <c r="G157" s="1">
        <f t="shared" si="22"/>
        <v>5253323.7119999994</v>
      </c>
      <c r="H157" s="1">
        <f t="shared" si="23"/>
        <v>6003798.5279999999</v>
      </c>
      <c r="I157" s="1">
        <f t="shared" si="24"/>
        <v>6754273.3439999996</v>
      </c>
      <c r="J157" s="1">
        <f t="shared" si="25"/>
        <v>3377136.6719999998</v>
      </c>
      <c r="K157" s="1">
        <f t="shared" si="26"/>
        <v>3001899.264</v>
      </c>
      <c r="L157" s="1">
        <f t="shared" si="27"/>
        <v>2251424.4479999999</v>
      </c>
      <c r="M157" s="1">
        <f t="shared" si="28"/>
        <v>1500949.632</v>
      </c>
      <c r="N157" s="1">
        <f t="shared" si="29"/>
        <v>750474.81599999999</v>
      </c>
    </row>
    <row r="158" spans="1:19" x14ac:dyDescent="0.35">
      <c r="A158" t="s">
        <v>172</v>
      </c>
      <c r="B158" t="s">
        <v>2</v>
      </c>
      <c r="C158" t="s">
        <v>1</v>
      </c>
      <c r="D158" s="1">
        <v>38971033.920000002</v>
      </c>
      <c r="E158" s="1">
        <f t="shared" si="20"/>
        <v>42868137.312000006</v>
      </c>
      <c r="F158" s="1">
        <f t="shared" si="21"/>
        <v>46765240.704000004</v>
      </c>
      <c r="G158" s="1">
        <f t="shared" si="22"/>
        <v>54559447.487999998</v>
      </c>
      <c r="H158" s="1">
        <f t="shared" si="23"/>
        <v>62353654.272000007</v>
      </c>
      <c r="I158" s="1">
        <f t="shared" si="24"/>
        <v>70147861.056000009</v>
      </c>
      <c r="J158" s="1">
        <f t="shared" si="25"/>
        <v>35073930.528000005</v>
      </c>
      <c r="K158" s="1">
        <f t="shared" si="26"/>
        <v>31176827.136000004</v>
      </c>
      <c r="L158" s="1">
        <f t="shared" si="27"/>
        <v>23382620.352000002</v>
      </c>
      <c r="M158" s="1">
        <f t="shared" si="28"/>
        <v>15588413.568000002</v>
      </c>
      <c r="N158" s="1">
        <f t="shared" si="29"/>
        <v>7794206.7840000009</v>
      </c>
    </row>
    <row r="159" spans="1:19" x14ac:dyDescent="0.35">
      <c r="A159" t="s">
        <v>173</v>
      </c>
      <c r="B159" t="s">
        <v>2</v>
      </c>
      <c r="C159" t="s">
        <v>1</v>
      </c>
      <c r="D159" s="1">
        <v>1967609.2799999998</v>
      </c>
      <c r="E159" s="1">
        <f t="shared" si="20"/>
        <v>2164370.2080000001</v>
      </c>
      <c r="F159" s="1">
        <f t="shared" si="21"/>
        <v>2361131.1359999995</v>
      </c>
      <c r="G159" s="1">
        <f t="shared" si="22"/>
        <v>2754652.9919999996</v>
      </c>
      <c r="H159" s="1">
        <f t="shared" si="23"/>
        <v>3148174.8479999998</v>
      </c>
      <c r="I159" s="1">
        <f t="shared" si="24"/>
        <v>3541696.7039999999</v>
      </c>
      <c r="J159" s="1">
        <f t="shared" si="25"/>
        <v>1770848.352</v>
      </c>
      <c r="K159" s="1">
        <f t="shared" si="26"/>
        <v>1574087.4239999999</v>
      </c>
      <c r="L159" s="1">
        <f t="shared" si="27"/>
        <v>1180565.5679999997</v>
      </c>
      <c r="M159" s="1">
        <f t="shared" si="28"/>
        <v>787043.71199999994</v>
      </c>
      <c r="N159" s="1">
        <f t="shared" si="29"/>
        <v>393521.85599999997</v>
      </c>
    </row>
    <row r="160" spans="1:19" x14ac:dyDescent="0.35">
      <c r="A160" t="s">
        <v>174</v>
      </c>
      <c r="B160" t="s">
        <v>2</v>
      </c>
      <c r="C160" t="s">
        <v>1</v>
      </c>
      <c r="D160" s="1">
        <v>2432976</v>
      </c>
      <c r="E160" s="1">
        <f t="shared" si="20"/>
        <v>2676273.6</v>
      </c>
      <c r="F160" s="1">
        <f t="shared" si="21"/>
        <v>2919571.1999999997</v>
      </c>
      <c r="G160" s="1">
        <f t="shared" si="22"/>
        <v>3406166.4</v>
      </c>
      <c r="H160" s="1">
        <f t="shared" si="23"/>
        <v>3892761.6</v>
      </c>
      <c r="I160" s="1">
        <f t="shared" si="24"/>
        <v>4379356.8</v>
      </c>
      <c r="J160" s="1">
        <f t="shared" si="25"/>
        <v>2189678.4</v>
      </c>
      <c r="K160" s="1">
        <f t="shared" si="26"/>
        <v>1946380.8</v>
      </c>
      <c r="L160" s="1">
        <f t="shared" si="27"/>
        <v>1459785.5999999999</v>
      </c>
      <c r="M160" s="1">
        <f t="shared" si="28"/>
        <v>973190.4</v>
      </c>
      <c r="N160" s="1">
        <f t="shared" si="29"/>
        <v>486595.2</v>
      </c>
    </row>
    <row r="161" spans="5:5" x14ac:dyDescent="0.35">
      <c r="E161" s="1"/>
    </row>
  </sheetData>
  <phoneticPr fontId="1" type="noConversion"/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85CA-3E61-4A82-8C62-F7714D6128D6}">
  <dimension ref="A1:N160"/>
  <sheetViews>
    <sheetView topLeftCell="A136" workbookViewId="0">
      <selection activeCell="H12" sqref="H12"/>
    </sheetView>
  </sheetViews>
  <sheetFormatPr baseColWidth="10" defaultRowHeight="14.5" x14ac:dyDescent="0.35"/>
  <cols>
    <col min="1" max="1" width="8.453125" bestFit="1" customWidth="1"/>
    <col min="2" max="2" width="10.453125" bestFit="1" customWidth="1"/>
    <col min="3" max="3" width="8" bestFit="1" customWidth="1"/>
    <col min="4" max="4" width="12.36328125" bestFit="1" customWidth="1"/>
    <col min="5" max="11" width="10.81640625" bestFit="1" customWidth="1"/>
    <col min="12" max="14" width="9.81640625" bestFit="1" customWidth="1"/>
  </cols>
  <sheetData>
    <row r="1" spans="1:14" x14ac:dyDescent="0.35">
      <c r="A1" t="s">
        <v>3</v>
      </c>
      <c r="B1" t="s">
        <v>8</v>
      </c>
      <c r="C1" t="s">
        <v>0</v>
      </c>
      <c r="D1" s="2" t="s">
        <v>10</v>
      </c>
      <c r="E1" t="s">
        <v>11</v>
      </c>
      <c r="F1" t="s">
        <v>12</v>
      </c>
      <c r="G1" t="s">
        <v>13</v>
      </c>
      <c r="H1" t="s">
        <v>14</v>
      </c>
      <c r="I1" s="2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</row>
    <row r="2" spans="1:14" x14ac:dyDescent="0.35">
      <c r="A2" t="s">
        <v>21</v>
      </c>
      <c r="B2" t="s">
        <v>2</v>
      </c>
      <c r="C2" t="s">
        <v>1</v>
      </c>
      <c r="D2" s="1">
        <v>541632</v>
      </c>
      <c r="E2" s="1">
        <f>D2*1.1</f>
        <v>595795.20000000007</v>
      </c>
      <c r="F2" s="1">
        <f>D2*1.2</f>
        <v>649958.40000000002</v>
      </c>
      <c r="G2" s="1">
        <f>D2*1.4</f>
        <v>758284.79999999993</v>
      </c>
      <c r="H2" s="1">
        <f>D2*1.6</f>
        <v>866611.20000000007</v>
      </c>
      <c r="I2" s="1">
        <f>D2*1.8</f>
        <v>974937.59999999998</v>
      </c>
      <c r="J2" s="1">
        <f>D2*0.9</f>
        <v>487468.79999999999</v>
      </c>
      <c r="K2" s="1">
        <f>D2*0.8</f>
        <v>433305.60000000003</v>
      </c>
      <c r="L2" s="1">
        <f>D2*0.6</f>
        <v>324979.20000000001</v>
      </c>
      <c r="M2" s="1">
        <f>D2*0.4</f>
        <v>216652.80000000002</v>
      </c>
      <c r="N2" s="1">
        <f>D2*0.2</f>
        <v>108326.40000000001</v>
      </c>
    </row>
    <row r="3" spans="1:14" x14ac:dyDescent="0.35">
      <c r="A3" t="s">
        <v>22</v>
      </c>
      <c r="B3" t="s">
        <v>2</v>
      </c>
      <c r="C3" t="s">
        <v>1</v>
      </c>
      <c r="D3" s="1">
        <v>410592</v>
      </c>
      <c r="E3" s="1">
        <f t="shared" ref="E3:E66" si="0">D3*1.1</f>
        <v>451651.2</v>
      </c>
      <c r="F3" s="1">
        <f t="shared" ref="F3:F66" si="1">D3*1.2</f>
        <v>492710.39999999997</v>
      </c>
      <c r="G3" s="1">
        <f t="shared" ref="G3:G66" si="2">D3*1.4</f>
        <v>574828.79999999993</v>
      </c>
      <c r="H3" s="1">
        <f t="shared" ref="H3:H66" si="3">D3*1.6</f>
        <v>656947.20000000007</v>
      </c>
      <c r="I3" s="1">
        <f t="shared" ref="I3:I66" si="4">D3*1.8</f>
        <v>739065.6</v>
      </c>
      <c r="J3" s="1">
        <f t="shared" ref="J3:J66" si="5">D3*0.9</f>
        <v>369532.8</v>
      </c>
      <c r="K3" s="1">
        <f t="shared" ref="K3:K66" si="6">D3*0.8</f>
        <v>328473.60000000003</v>
      </c>
      <c r="L3" s="1">
        <f t="shared" ref="L3:L66" si="7">D3*0.6</f>
        <v>246355.19999999998</v>
      </c>
      <c r="M3" s="1">
        <f t="shared" ref="M3:M66" si="8">D3*0.4</f>
        <v>164236.80000000002</v>
      </c>
      <c r="N3" s="1">
        <f t="shared" ref="N3:N66" si="9">D3*0.2</f>
        <v>82118.400000000009</v>
      </c>
    </row>
    <row r="4" spans="1:14" x14ac:dyDescent="0.35">
      <c r="A4" t="s">
        <v>23</v>
      </c>
      <c r="B4" t="s">
        <v>2</v>
      </c>
      <c r="C4" t="s">
        <v>1</v>
      </c>
      <c r="D4" s="1">
        <v>14274624</v>
      </c>
      <c r="E4" s="1">
        <f t="shared" si="0"/>
        <v>15702086.4</v>
      </c>
      <c r="F4" s="1">
        <f t="shared" si="1"/>
        <v>17129548.800000001</v>
      </c>
      <c r="G4" s="1">
        <f t="shared" si="2"/>
        <v>19984473.599999998</v>
      </c>
      <c r="H4" s="1">
        <f t="shared" si="3"/>
        <v>22839398.400000002</v>
      </c>
      <c r="I4" s="1">
        <f t="shared" si="4"/>
        <v>25694323.199999999</v>
      </c>
      <c r="J4" s="1">
        <f t="shared" si="5"/>
        <v>12847161.6</v>
      </c>
      <c r="K4" s="1">
        <f t="shared" si="6"/>
        <v>11419699.200000001</v>
      </c>
      <c r="L4" s="1">
        <f t="shared" si="7"/>
        <v>8564774.4000000004</v>
      </c>
      <c r="M4" s="1">
        <f t="shared" si="8"/>
        <v>5709849.6000000006</v>
      </c>
      <c r="N4" s="1">
        <f t="shared" si="9"/>
        <v>2854924.8000000003</v>
      </c>
    </row>
    <row r="5" spans="1:14" x14ac:dyDescent="0.35">
      <c r="A5" t="s">
        <v>24</v>
      </c>
      <c r="B5" t="s">
        <v>2</v>
      </c>
      <c r="C5" t="s">
        <v>1</v>
      </c>
      <c r="D5" s="1">
        <v>1633632</v>
      </c>
      <c r="E5" s="1">
        <f t="shared" si="0"/>
        <v>1796995.2000000002</v>
      </c>
      <c r="F5" s="1">
        <f t="shared" si="1"/>
        <v>1960358.4</v>
      </c>
      <c r="G5" s="1">
        <f t="shared" si="2"/>
        <v>2287084.7999999998</v>
      </c>
      <c r="H5" s="1">
        <f t="shared" si="3"/>
        <v>2613811.2000000002</v>
      </c>
      <c r="I5" s="1">
        <f t="shared" si="4"/>
        <v>2940537.6</v>
      </c>
      <c r="J5" s="1">
        <f t="shared" si="5"/>
        <v>1470268.8</v>
      </c>
      <c r="K5" s="1">
        <f t="shared" si="6"/>
        <v>1306905.6000000001</v>
      </c>
      <c r="L5" s="1">
        <f t="shared" si="7"/>
        <v>980179.2</v>
      </c>
      <c r="M5" s="1">
        <f t="shared" si="8"/>
        <v>653452.80000000005</v>
      </c>
      <c r="N5" s="1">
        <f t="shared" si="9"/>
        <v>326726.40000000002</v>
      </c>
    </row>
    <row r="6" spans="1:14" x14ac:dyDescent="0.35">
      <c r="A6" t="s">
        <v>25</v>
      </c>
      <c r="B6" t="s">
        <v>2</v>
      </c>
      <c r="C6" t="s">
        <v>1</v>
      </c>
      <c r="D6">
        <v>17943744</v>
      </c>
      <c r="E6" s="1">
        <f t="shared" si="0"/>
        <v>19738118.400000002</v>
      </c>
      <c r="F6" s="1">
        <f t="shared" si="1"/>
        <v>21532492.800000001</v>
      </c>
      <c r="G6" s="1">
        <f t="shared" si="2"/>
        <v>25121241.599999998</v>
      </c>
      <c r="H6" s="1">
        <f t="shared" si="3"/>
        <v>28709990.400000002</v>
      </c>
      <c r="I6" s="1">
        <f t="shared" si="4"/>
        <v>32298739.199999999</v>
      </c>
      <c r="J6" s="1">
        <f t="shared" si="5"/>
        <v>16149369.6</v>
      </c>
      <c r="K6" s="1">
        <f t="shared" si="6"/>
        <v>14354995.200000001</v>
      </c>
      <c r="L6" s="1">
        <f t="shared" si="7"/>
        <v>10766246.4</v>
      </c>
      <c r="M6" s="1">
        <f t="shared" si="8"/>
        <v>7177497.6000000006</v>
      </c>
      <c r="N6" s="1">
        <f t="shared" si="9"/>
        <v>3588748.8000000003</v>
      </c>
    </row>
    <row r="7" spans="1:14" x14ac:dyDescent="0.35">
      <c r="A7" t="s">
        <v>26</v>
      </c>
      <c r="B7" t="s">
        <v>2</v>
      </c>
      <c r="C7" t="s">
        <v>1</v>
      </c>
      <c r="D7">
        <v>2393664</v>
      </c>
      <c r="E7" s="1">
        <f t="shared" si="0"/>
        <v>2633030.4000000004</v>
      </c>
      <c r="F7" s="1">
        <f t="shared" si="1"/>
        <v>2872396.8</v>
      </c>
      <c r="G7" s="1">
        <f t="shared" si="2"/>
        <v>3351129.5999999996</v>
      </c>
      <c r="H7" s="1">
        <f t="shared" si="3"/>
        <v>3829862.4000000004</v>
      </c>
      <c r="I7" s="1">
        <f t="shared" si="4"/>
        <v>4308595.2</v>
      </c>
      <c r="J7" s="1">
        <f t="shared" si="5"/>
        <v>2154297.6</v>
      </c>
      <c r="K7" s="1">
        <f t="shared" si="6"/>
        <v>1914931.2000000002</v>
      </c>
      <c r="L7" s="1">
        <f t="shared" si="7"/>
        <v>1436198.4</v>
      </c>
      <c r="M7" s="1">
        <f t="shared" si="8"/>
        <v>957465.60000000009</v>
      </c>
      <c r="N7" s="1">
        <f t="shared" si="9"/>
        <v>478732.80000000005</v>
      </c>
    </row>
    <row r="8" spans="1:14" x14ac:dyDescent="0.35">
      <c r="A8" t="s">
        <v>27</v>
      </c>
      <c r="B8" t="s">
        <v>2</v>
      </c>
      <c r="C8" t="s">
        <v>1</v>
      </c>
      <c r="D8">
        <v>672672</v>
      </c>
      <c r="E8" s="1">
        <f t="shared" si="0"/>
        <v>739939.20000000007</v>
      </c>
      <c r="F8" s="1">
        <f t="shared" si="1"/>
        <v>807206.40000000002</v>
      </c>
      <c r="G8" s="1">
        <f t="shared" si="2"/>
        <v>941740.79999999993</v>
      </c>
      <c r="H8" s="1">
        <f t="shared" si="3"/>
        <v>1076275.2</v>
      </c>
      <c r="I8" s="1">
        <f t="shared" si="4"/>
        <v>1210809.6000000001</v>
      </c>
      <c r="J8" s="1">
        <f t="shared" si="5"/>
        <v>605404.80000000005</v>
      </c>
      <c r="K8" s="1">
        <f t="shared" si="6"/>
        <v>538137.59999999998</v>
      </c>
      <c r="L8" s="1">
        <f t="shared" si="7"/>
        <v>403603.20000000001</v>
      </c>
      <c r="M8" s="1">
        <f t="shared" si="8"/>
        <v>269068.79999999999</v>
      </c>
      <c r="N8" s="1">
        <f t="shared" si="9"/>
        <v>134534.39999999999</v>
      </c>
    </row>
    <row r="9" spans="1:14" x14ac:dyDescent="0.35">
      <c r="A9" t="s">
        <v>28</v>
      </c>
      <c r="B9" t="s">
        <v>2</v>
      </c>
      <c r="C9" t="s">
        <v>1</v>
      </c>
      <c r="D9">
        <v>24321024</v>
      </c>
      <c r="E9" s="1">
        <f t="shared" si="0"/>
        <v>26753126.400000002</v>
      </c>
      <c r="F9" s="1">
        <f t="shared" si="1"/>
        <v>29185228.800000001</v>
      </c>
      <c r="G9" s="1">
        <f t="shared" si="2"/>
        <v>34049433.600000001</v>
      </c>
      <c r="H9" s="1">
        <f t="shared" si="3"/>
        <v>38913638.399999999</v>
      </c>
      <c r="I9" s="1">
        <f t="shared" si="4"/>
        <v>43777843.200000003</v>
      </c>
      <c r="J9" s="1">
        <f t="shared" si="5"/>
        <v>21888921.600000001</v>
      </c>
      <c r="K9" s="1">
        <f t="shared" si="6"/>
        <v>19456819.199999999</v>
      </c>
      <c r="L9" s="1">
        <f t="shared" si="7"/>
        <v>14592614.4</v>
      </c>
      <c r="M9" s="1">
        <f t="shared" si="8"/>
        <v>9728409.5999999996</v>
      </c>
      <c r="N9" s="1">
        <f t="shared" si="9"/>
        <v>4864204.7999999998</v>
      </c>
    </row>
    <row r="10" spans="1:14" x14ac:dyDescent="0.35">
      <c r="A10" t="s">
        <v>29</v>
      </c>
      <c r="B10" t="s">
        <v>2</v>
      </c>
      <c r="C10" t="s">
        <v>1</v>
      </c>
      <c r="D10">
        <v>8447712</v>
      </c>
      <c r="E10" s="1">
        <f t="shared" si="0"/>
        <v>9292483.2000000011</v>
      </c>
      <c r="F10" s="1">
        <f t="shared" si="1"/>
        <v>10137254.4</v>
      </c>
      <c r="G10" s="1">
        <f t="shared" si="2"/>
        <v>11826796.799999999</v>
      </c>
      <c r="H10" s="1">
        <f t="shared" si="3"/>
        <v>13516339.200000001</v>
      </c>
      <c r="I10" s="1">
        <f t="shared" si="4"/>
        <v>15205881.6</v>
      </c>
      <c r="J10" s="1">
        <f t="shared" si="5"/>
        <v>7602940.7999999998</v>
      </c>
      <c r="K10" s="1">
        <f t="shared" si="6"/>
        <v>6758169.6000000006</v>
      </c>
      <c r="L10" s="1">
        <f t="shared" si="7"/>
        <v>5068627.2</v>
      </c>
      <c r="M10" s="1">
        <f t="shared" si="8"/>
        <v>3379084.8000000003</v>
      </c>
      <c r="N10" s="1">
        <f t="shared" si="9"/>
        <v>1689542.4000000001</v>
      </c>
    </row>
    <row r="11" spans="1:14" x14ac:dyDescent="0.35">
      <c r="A11" t="s">
        <v>4</v>
      </c>
      <c r="B11" t="s">
        <v>2</v>
      </c>
      <c r="C11" t="s">
        <v>1</v>
      </c>
      <c r="D11">
        <v>177008832</v>
      </c>
      <c r="E11" s="1">
        <f t="shared" si="0"/>
        <v>194709715.20000002</v>
      </c>
      <c r="F11" s="1">
        <f t="shared" si="1"/>
        <v>212410598.40000001</v>
      </c>
      <c r="G11" s="1">
        <f t="shared" si="2"/>
        <v>247812364.79999998</v>
      </c>
      <c r="H11" s="1">
        <f t="shared" si="3"/>
        <v>283214131.19999999</v>
      </c>
      <c r="I11" s="1">
        <f t="shared" si="4"/>
        <v>318615897.60000002</v>
      </c>
      <c r="J11" s="1">
        <f t="shared" si="5"/>
        <v>159307948.80000001</v>
      </c>
      <c r="K11" s="1">
        <f t="shared" si="6"/>
        <v>141607065.59999999</v>
      </c>
      <c r="L11" s="1">
        <f t="shared" si="7"/>
        <v>106205299.2</v>
      </c>
      <c r="M11" s="1">
        <f t="shared" si="8"/>
        <v>70803532.799999997</v>
      </c>
      <c r="N11" s="1">
        <f t="shared" si="9"/>
        <v>35401766.399999999</v>
      </c>
    </row>
    <row r="12" spans="1:14" x14ac:dyDescent="0.35">
      <c r="A12" t="s">
        <v>7</v>
      </c>
      <c r="B12" t="s">
        <v>2</v>
      </c>
      <c r="C12" t="s">
        <v>1</v>
      </c>
      <c r="D12">
        <v>11880960</v>
      </c>
      <c r="E12" s="1">
        <f t="shared" si="0"/>
        <v>13069056.000000002</v>
      </c>
      <c r="F12" s="1">
        <f t="shared" si="1"/>
        <v>14257152</v>
      </c>
      <c r="G12" s="1">
        <f t="shared" si="2"/>
        <v>16633343.999999998</v>
      </c>
      <c r="H12" s="1">
        <f t="shared" si="3"/>
        <v>19009536</v>
      </c>
      <c r="I12" s="1">
        <f t="shared" si="4"/>
        <v>21385728</v>
      </c>
      <c r="J12" s="1">
        <f t="shared" si="5"/>
        <v>10692864</v>
      </c>
      <c r="K12" s="1">
        <f t="shared" si="6"/>
        <v>9504768</v>
      </c>
      <c r="L12" s="1">
        <f t="shared" si="7"/>
        <v>7128576</v>
      </c>
      <c r="M12" s="1">
        <f t="shared" si="8"/>
        <v>4752384</v>
      </c>
      <c r="N12" s="1">
        <f t="shared" si="9"/>
        <v>2376192</v>
      </c>
    </row>
    <row r="13" spans="1:14" x14ac:dyDescent="0.35">
      <c r="A13" t="s">
        <v>30</v>
      </c>
      <c r="B13" t="s">
        <v>2</v>
      </c>
      <c r="C13" t="s">
        <v>1</v>
      </c>
      <c r="D13">
        <v>42649152</v>
      </c>
      <c r="E13" s="1">
        <f t="shared" si="0"/>
        <v>46914067.200000003</v>
      </c>
      <c r="F13" s="1">
        <f t="shared" si="1"/>
        <v>51178982.399999999</v>
      </c>
      <c r="G13" s="1">
        <f t="shared" si="2"/>
        <v>59708812.799999997</v>
      </c>
      <c r="H13" s="1">
        <f t="shared" si="3"/>
        <v>68238643.200000003</v>
      </c>
      <c r="I13" s="1">
        <f t="shared" si="4"/>
        <v>76768473.600000009</v>
      </c>
      <c r="J13" s="1">
        <f t="shared" si="5"/>
        <v>38384236.800000004</v>
      </c>
      <c r="K13" s="1">
        <f t="shared" si="6"/>
        <v>34119321.600000001</v>
      </c>
      <c r="L13" s="1">
        <f t="shared" si="7"/>
        <v>25589491.199999999</v>
      </c>
      <c r="M13" s="1">
        <f t="shared" si="8"/>
        <v>17059660.800000001</v>
      </c>
      <c r="N13" s="1">
        <f t="shared" si="9"/>
        <v>8529830.4000000004</v>
      </c>
    </row>
    <row r="14" spans="1:14" x14ac:dyDescent="0.35">
      <c r="A14" t="s">
        <v>31</v>
      </c>
      <c r="B14" t="s">
        <v>2</v>
      </c>
      <c r="C14" t="s">
        <v>1</v>
      </c>
      <c r="D14">
        <v>1083264</v>
      </c>
      <c r="E14" s="1">
        <f t="shared" si="0"/>
        <v>1191590.4000000001</v>
      </c>
      <c r="F14" s="1">
        <f t="shared" si="1"/>
        <v>1299916.8</v>
      </c>
      <c r="G14" s="1">
        <f t="shared" si="2"/>
        <v>1516569.5999999999</v>
      </c>
      <c r="H14" s="1">
        <f t="shared" si="3"/>
        <v>1733222.4000000001</v>
      </c>
      <c r="I14" s="1">
        <f t="shared" si="4"/>
        <v>1949875.2</v>
      </c>
      <c r="J14" s="1">
        <f t="shared" si="5"/>
        <v>974937.59999999998</v>
      </c>
      <c r="K14" s="1">
        <f t="shared" si="6"/>
        <v>866611.20000000007</v>
      </c>
      <c r="L14" s="1">
        <f t="shared" si="7"/>
        <v>649958.40000000002</v>
      </c>
      <c r="M14" s="1">
        <f t="shared" si="8"/>
        <v>433305.60000000003</v>
      </c>
      <c r="N14" s="1">
        <f t="shared" si="9"/>
        <v>216652.80000000002</v>
      </c>
    </row>
    <row r="15" spans="1:14" x14ac:dyDescent="0.35">
      <c r="A15" t="s">
        <v>5</v>
      </c>
      <c r="B15" t="s">
        <v>2</v>
      </c>
      <c r="C15" t="s">
        <v>1</v>
      </c>
      <c r="D15">
        <v>8945664</v>
      </c>
      <c r="E15" s="1">
        <f t="shared" si="0"/>
        <v>9840230.4000000004</v>
      </c>
      <c r="F15" s="1">
        <f t="shared" si="1"/>
        <v>10734796.799999999</v>
      </c>
      <c r="G15" s="1">
        <f t="shared" si="2"/>
        <v>12523929.6</v>
      </c>
      <c r="H15" s="1">
        <f t="shared" si="3"/>
        <v>14313062.4</v>
      </c>
      <c r="I15" s="1">
        <f t="shared" si="4"/>
        <v>16102195.200000001</v>
      </c>
      <c r="J15" s="1">
        <f t="shared" si="5"/>
        <v>8051097.6000000006</v>
      </c>
      <c r="K15" s="1">
        <f t="shared" si="6"/>
        <v>7156531.2000000002</v>
      </c>
      <c r="L15" s="1">
        <f t="shared" si="7"/>
        <v>5367398.3999999994</v>
      </c>
      <c r="M15" s="1">
        <f t="shared" si="8"/>
        <v>3578265.6000000001</v>
      </c>
      <c r="N15" s="1">
        <f t="shared" si="9"/>
        <v>1789132.8</v>
      </c>
    </row>
    <row r="16" spans="1:14" x14ac:dyDescent="0.35">
      <c r="A16" t="s">
        <v>6</v>
      </c>
      <c r="B16" t="s">
        <v>2</v>
      </c>
      <c r="C16" t="s">
        <v>1</v>
      </c>
      <c r="D16">
        <v>87901632</v>
      </c>
      <c r="E16" s="1">
        <f t="shared" si="0"/>
        <v>96691795.200000003</v>
      </c>
      <c r="F16" s="1">
        <f t="shared" si="1"/>
        <v>105481958.39999999</v>
      </c>
      <c r="G16" s="1">
        <f t="shared" si="2"/>
        <v>123062284.8</v>
      </c>
      <c r="H16" s="1">
        <f t="shared" si="3"/>
        <v>140642611.20000002</v>
      </c>
      <c r="I16" s="1">
        <f t="shared" si="4"/>
        <v>158222937.59999999</v>
      </c>
      <c r="J16" s="1">
        <f t="shared" si="5"/>
        <v>79111468.799999997</v>
      </c>
      <c r="K16" s="1">
        <f t="shared" si="6"/>
        <v>70321305.600000009</v>
      </c>
      <c r="L16" s="1">
        <f t="shared" si="7"/>
        <v>52740979.199999996</v>
      </c>
      <c r="M16" s="1">
        <f t="shared" si="8"/>
        <v>35160652.800000004</v>
      </c>
      <c r="N16" s="1">
        <f t="shared" si="9"/>
        <v>17580326.400000002</v>
      </c>
    </row>
    <row r="17" spans="1:14" x14ac:dyDescent="0.35">
      <c r="A17" t="s">
        <v>32</v>
      </c>
      <c r="B17" t="s">
        <v>2</v>
      </c>
      <c r="C17" t="s">
        <v>1</v>
      </c>
      <c r="D17">
        <v>106832544</v>
      </c>
      <c r="E17" s="1">
        <f t="shared" si="0"/>
        <v>117515798.40000001</v>
      </c>
      <c r="F17" s="1">
        <f t="shared" si="1"/>
        <v>128199052.8</v>
      </c>
      <c r="G17" s="1">
        <f t="shared" si="2"/>
        <v>149565561.59999999</v>
      </c>
      <c r="H17" s="1">
        <f t="shared" si="3"/>
        <v>170932070.40000001</v>
      </c>
      <c r="I17" s="1">
        <f t="shared" si="4"/>
        <v>192298579.20000002</v>
      </c>
      <c r="J17" s="1">
        <f t="shared" si="5"/>
        <v>96149289.600000009</v>
      </c>
      <c r="K17" s="1">
        <f t="shared" si="6"/>
        <v>85466035.200000003</v>
      </c>
      <c r="L17" s="1">
        <f t="shared" si="7"/>
        <v>64099526.399999999</v>
      </c>
      <c r="M17" s="1">
        <f t="shared" si="8"/>
        <v>42733017.600000001</v>
      </c>
      <c r="N17" s="1">
        <f t="shared" si="9"/>
        <v>21366508.800000001</v>
      </c>
    </row>
    <row r="18" spans="1:14" x14ac:dyDescent="0.35">
      <c r="A18" t="s">
        <v>33</v>
      </c>
      <c r="B18" t="s">
        <v>2</v>
      </c>
      <c r="C18" t="s">
        <v>1</v>
      </c>
      <c r="D18">
        <v>559104</v>
      </c>
      <c r="E18" s="1">
        <f t="shared" si="0"/>
        <v>615014.40000000002</v>
      </c>
      <c r="F18" s="1">
        <f t="shared" si="1"/>
        <v>670924.79999999993</v>
      </c>
      <c r="G18" s="1">
        <f t="shared" si="2"/>
        <v>782745.59999999998</v>
      </c>
      <c r="H18" s="1">
        <f t="shared" si="3"/>
        <v>894566.40000000002</v>
      </c>
      <c r="I18" s="1">
        <f t="shared" si="4"/>
        <v>1006387.2000000001</v>
      </c>
      <c r="J18" s="1">
        <f t="shared" si="5"/>
        <v>503193.60000000003</v>
      </c>
      <c r="K18" s="1">
        <f t="shared" si="6"/>
        <v>447283.20000000001</v>
      </c>
      <c r="L18" s="1">
        <f t="shared" si="7"/>
        <v>335462.39999999997</v>
      </c>
      <c r="M18" s="1">
        <f t="shared" si="8"/>
        <v>223641.60000000001</v>
      </c>
      <c r="N18" s="1">
        <f t="shared" si="9"/>
        <v>111820.8</v>
      </c>
    </row>
    <row r="19" spans="1:14" x14ac:dyDescent="0.35">
      <c r="A19" t="s">
        <v>34</v>
      </c>
      <c r="B19" t="s">
        <v>2</v>
      </c>
      <c r="C19" t="s">
        <v>1</v>
      </c>
      <c r="D19">
        <v>6464640</v>
      </c>
      <c r="E19" s="1">
        <f t="shared" si="0"/>
        <v>7111104.0000000009</v>
      </c>
      <c r="F19" s="1">
        <f t="shared" si="1"/>
        <v>7757568</v>
      </c>
      <c r="G19" s="1">
        <f t="shared" si="2"/>
        <v>9050496</v>
      </c>
      <c r="H19" s="1">
        <f t="shared" si="3"/>
        <v>10343424</v>
      </c>
      <c r="I19" s="1">
        <f t="shared" si="4"/>
        <v>11636352</v>
      </c>
      <c r="J19" s="1">
        <f t="shared" si="5"/>
        <v>5818176</v>
      </c>
      <c r="K19" s="1">
        <f t="shared" si="6"/>
        <v>5171712</v>
      </c>
      <c r="L19" s="1">
        <f t="shared" si="7"/>
        <v>3878784</v>
      </c>
      <c r="M19" s="1">
        <f t="shared" si="8"/>
        <v>2585856</v>
      </c>
      <c r="N19" s="1">
        <f t="shared" si="9"/>
        <v>1292928</v>
      </c>
    </row>
    <row r="20" spans="1:14" x14ac:dyDescent="0.35">
      <c r="A20" t="s">
        <v>35</v>
      </c>
      <c r="B20" t="s">
        <v>2</v>
      </c>
      <c r="C20" t="s">
        <v>1</v>
      </c>
      <c r="D20">
        <v>2026752</v>
      </c>
      <c r="E20" s="1">
        <f t="shared" si="0"/>
        <v>2229427.2000000002</v>
      </c>
      <c r="F20" s="1">
        <f t="shared" si="1"/>
        <v>2432102.3999999999</v>
      </c>
      <c r="G20" s="1">
        <f t="shared" si="2"/>
        <v>2837452.7999999998</v>
      </c>
      <c r="H20" s="1">
        <f t="shared" si="3"/>
        <v>3242803.2000000002</v>
      </c>
      <c r="I20" s="1">
        <f t="shared" si="4"/>
        <v>3648153.6000000001</v>
      </c>
      <c r="J20" s="1">
        <f t="shared" si="5"/>
        <v>1824076.8</v>
      </c>
      <c r="K20" s="1">
        <f t="shared" si="6"/>
        <v>1621401.6000000001</v>
      </c>
      <c r="L20" s="1">
        <f t="shared" si="7"/>
        <v>1216051.2</v>
      </c>
      <c r="M20" s="1">
        <f t="shared" si="8"/>
        <v>810700.80000000005</v>
      </c>
      <c r="N20" s="1">
        <f t="shared" si="9"/>
        <v>405350.40000000002</v>
      </c>
    </row>
    <row r="21" spans="1:14" x14ac:dyDescent="0.35">
      <c r="A21" t="s">
        <v>36</v>
      </c>
      <c r="B21" t="s">
        <v>2</v>
      </c>
      <c r="C21" t="s">
        <v>1</v>
      </c>
      <c r="D21">
        <v>5451264</v>
      </c>
      <c r="E21" s="1">
        <f t="shared" si="0"/>
        <v>5996390.4000000004</v>
      </c>
      <c r="F21" s="1">
        <f t="shared" si="1"/>
        <v>6541516.7999999998</v>
      </c>
      <c r="G21" s="1">
        <f t="shared" si="2"/>
        <v>7631769.5999999996</v>
      </c>
      <c r="H21" s="1">
        <f t="shared" si="3"/>
        <v>8722022.4000000004</v>
      </c>
      <c r="I21" s="1">
        <f t="shared" si="4"/>
        <v>9812275.2000000011</v>
      </c>
      <c r="J21" s="1">
        <f t="shared" si="5"/>
        <v>4906137.6000000006</v>
      </c>
      <c r="K21" s="1">
        <f t="shared" si="6"/>
        <v>4361011.2000000002</v>
      </c>
      <c r="L21" s="1">
        <f t="shared" si="7"/>
        <v>3270758.3999999999</v>
      </c>
      <c r="M21" s="1">
        <f t="shared" si="8"/>
        <v>2180505.6000000001</v>
      </c>
      <c r="N21" s="1">
        <f t="shared" si="9"/>
        <v>1090252.8</v>
      </c>
    </row>
    <row r="22" spans="1:14" x14ac:dyDescent="0.35">
      <c r="A22" t="s">
        <v>37</v>
      </c>
      <c r="B22" t="s">
        <v>2</v>
      </c>
      <c r="C22" t="s">
        <v>1</v>
      </c>
      <c r="D22">
        <v>14912352</v>
      </c>
      <c r="E22" s="1">
        <f t="shared" si="0"/>
        <v>16403587.200000001</v>
      </c>
      <c r="F22" s="1">
        <f t="shared" si="1"/>
        <v>17894822.399999999</v>
      </c>
      <c r="G22" s="1">
        <f t="shared" si="2"/>
        <v>20877292.799999997</v>
      </c>
      <c r="H22" s="1">
        <f t="shared" si="3"/>
        <v>23859763.200000003</v>
      </c>
      <c r="I22" s="1">
        <f t="shared" si="4"/>
        <v>26842233.600000001</v>
      </c>
      <c r="J22" s="1">
        <f t="shared" si="5"/>
        <v>13421116.800000001</v>
      </c>
      <c r="K22" s="1">
        <f t="shared" si="6"/>
        <v>11929881.600000001</v>
      </c>
      <c r="L22" s="1">
        <f t="shared" si="7"/>
        <v>8947411.1999999993</v>
      </c>
      <c r="M22" s="1">
        <f t="shared" si="8"/>
        <v>5964940.8000000007</v>
      </c>
      <c r="N22" s="1">
        <f t="shared" si="9"/>
        <v>2982470.4000000004</v>
      </c>
    </row>
    <row r="23" spans="1:14" x14ac:dyDescent="0.35">
      <c r="A23" t="s">
        <v>38</v>
      </c>
      <c r="B23" t="s">
        <v>2</v>
      </c>
      <c r="C23" t="s">
        <v>1</v>
      </c>
      <c r="D23">
        <v>760032</v>
      </c>
      <c r="E23" s="1">
        <f t="shared" si="0"/>
        <v>836035.20000000007</v>
      </c>
      <c r="F23" s="1">
        <f t="shared" si="1"/>
        <v>912038.40000000002</v>
      </c>
      <c r="G23" s="1">
        <f t="shared" si="2"/>
        <v>1064044.8</v>
      </c>
      <c r="H23" s="1">
        <f t="shared" si="3"/>
        <v>1216051.2</v>
      </c>
      <c r="I23" s="1">
        <f t="shared" si="4"/>
        <v>1368057.6</v>
      </c>
      <c r="J23" s="1">
        <f t="shared" si="5"/>
        <v>684028.8</v>
      </c>
      <c r="K23" s="1">
        <f t="shared" si="6"/>
        <v>608025.59999999998</v>
      </c>
      <c r="L23" s="1">
        <f t="shared" si="7"/>
        <v>456019.20000000001</v>
      </c>
      <c r="M23" s="1">
        <f t="shared" si="8"/>
        <v>304012.79999999999</v>
      </c>
      <c r="N23" s="1">
        <f t="shared" si="9"/>
        <v>152006.39999999999</v>
      </c>
    </row>
    <row r="24" spans="1:14" x14ac:dyDescent="0.35">
      <c r="A24" t="s">
        <v>39</v>
      </c>
      <c r="B24" t="s">
        <v>2</v>
      </c>
      <c r="C24" t="s">
        <v>1</v>
      </c>
      <c r="D24">
        <v>62838048</v>
      </c>
      <c r="E24" s="1">
        <f t="shared" si="0"/>
        <v>69121852.800000012</v>
      </c>
      <c r="F24" s="1">
        <f t="shared" si="1"/>
        <v>75405657.599999994</v>
      </c>
      <c r="G24" s="1">
        <f t="shared" si="2"/>
        <v>87973267.199999988</v>
      </c>
      <c r="H24" s="1">
        <f t="shared" si="3"/>
        <v>100540876.80000001</v>
      </c>
      <c r="I24" s="1">
        <f t="shared" si="4"/>
        <v>113108486.40000001</v>
      </c>
      <c r="J24" s="1">
        <f t="shared" si="5"/>
        <v>56554243.200000003</v>
      </c>
      <c r="K24" s="1">
        <f t="shared" si="6"/>
        <v>50270438.400000006</v>
      </c>
      <c r="L24" s="1">
        <f t="shared" si="7"/>
        <v>37702828.799999997</v>
      </c>
      <c r="M24" s="1">
        <f t="shared" si="8"/>
        <v>25135219.200000003</v>
      </c>
      <c r="N24" s="1">
        <f t="shared" si="9"/>
        <v>12567609.600000001</v>
      </c>
    </row>
    <row r="25" spans="1:14" x14ac:dyDescent="0.35">
      <c r="A25" t="s">
        <v>40</v>
      </c>
      <c r="B25" t="s">
        <v>2</v>
      </c>
      <c r="C25" t="s">
        <v>1</v>
      </c>
      <c r="D25">
        <v>1956864</v>
      </c>
      <c r="E25" s="1">
        <f t="shared" si="0"/>
        <v>2152550.4000000004</v>
      </c>
      <c r="F25" s="1">
        <f t="shared" si="1"/>
        <v>2348236.7999999998</v>
      </c>
      <c r="G25" s="1">
        <f t="shared" si="2"/>
        <v>2739609.5999999996</v>
      </c>
      <c r="H25" s="1">
        <f t="shared" si="3"/>
        <v>3130982.4000000004</v>
      </c>
      <c r="I25" s="1">
        <f t="shared" si="4"/>
        <v>3522355.2000000002</v>
      </c>
      <c r="J25" s="1">
        <f t="shared" si="5"/>
        <v>1761177.6000000001</v>
      </c>
      <c r="K25" s="1">
        <f t="shared" si="6"/>
        <v>1565491.2000000002</v>
      </c>
      <c r="L25" s="1">
        <f t="shared" si="7"/>
        <v>1174118.3999999999</v>
      </c>
      <c r="M25" s="1">
        <f t="shared" si="8"/>
        <v>782745.60000000009</v>
      </c>
      <c r="N25" s="1">
        <f t="shared" si="9"/>
        <v>391372.80000000005</v>
      </c>
    </row>
    <row r="26" spans="1:14" x14ac:dyDescent="0.35">
      <c r="A26" t="s">
        <v>41</v>
      </c>
      <c r="B26" t="s">
        <v>2</v>
      </c>
      <c r="C26" t="s">
        <v>1</v>
      </c>
      <c r="D26">
        <v>2594592</v>
      </c>
      <c r="E26" s="1">
        <f t="shared" si="0"/>
        <v>2854051.2</v>
      </c>
      <c r="F26" s="1">
        <f t="shared" si="1"/>
        <v>3113510.4</v>
      </c>
      <c r="G26" s="1">
        <f t="shared" si="2"/>
        <v>3632428.8</v>
      </c>
      <c r="H26" s="1">
        <f t="shared" si="3"/>
        <v>4151347.2000000002</v>
      </c>
      <c r="I26" s="1">
        <f t="shared" si="4"/>
        <v>4670265.6000000006</v>
      </c>
      <c r="J26" s="1">
        <f t="shared" si="5"/>
        <v>2335132.8000000003</v>
      </c>
      <c r="K26" s="1">
        <f t="shared" si="6"/>
        <v>2075673.6000000001</v>
      </c>
      <c r="L26" s="1">
        <f t="shared" si="7"/>
        <v>1556755.2</v>
      </c>
      <c r="M26" s="1">
        <f t="shared" si="8"/>
        <v>1037836.8</v>
      </c>
      <c r="N26" s="1">
        <f t="shared" si="9"/>
        <v>518918.40000000002</v>
      </c>
    </row>
    <row r="27" spans="1:14" x14ac:dyDescent="0.35">
      <c r="A27" t="s">
        <v>42</v>
      </c>
      <c r="B27" t="s">
        <v>2</v>
      </c>
      <c r="C27" t="s">
        <v>1</v>
      </c>
      <c r="D27">
        <v>1161888</v>
      </c>
      <c r="E27" s="1">
        <f t="shared" si="0"/>
        <v>1278076.8</v>
      </c>
      <c r="F27" s="1">
        <f t="shared" si="1"/>
        <v>1394265.5999999999</v>
      </c>
      <c r="G27" s="1">
        <f t="shared" si="2"/>
        <v>1626643.2</v>
      </c>
      <c r="H27" s="1">
        <f t="shared" si="3"/>
        <v>1859020.8</v>
      </c>
      <c r="I27" s="1">
        <f t="shared" si="4"/>
        <v>2091398.4000000001</v>
      </c>
      <c r="J27" s="1">
        <f t="shared" si="5"/>
        <v>1045699.2000000001</v>
      </c>
      <c r="K27" s="1">
        <f t="shared" si="6"/>
        <v>929510.40000000002</v>
      </c>
      <c r="L27" s="1">
        <f t="shared" si="7"/>
        <v>697132.79999999993</v>
      </c>
      <c r="M27" s="1">
        <f t="shared" si="8"/>
        <v>464755.20000000001</v>
      </c>
      <c r="N27" s="1">
        <f t="shared" si="9"/>
        <v>232377.60000000001</v>
      </c>
    </row>
    <row r="28" spans="1:14" x14ac:dyDescent="0.35">
      <c r="A28" t="s">
        <v>43</v>
      </c>
      <c r="B28" t="s">
        <v>2</v>
      </c>
      <c r="C28" t="s">
        <v>1</v>
      </c>
      <c r="D28">
        <v>401856</v>
      </c>
      <c r="E28" s="1">
        <f t="shared" si="0"/>
        <v>442041.60000000003</v>
      </c>
      <c r="F28" s="1">
        <f t="shared" si="1"/>
        <v>482227.19999999995</v>
      </c>
      <c r="G28" s="1">
        <f t="shared" si="2"/>
        <v>562598.39999999991</v>
      </c>
      <c r="H28" s="1">
        <f t="shared" si="3"/>
        <v>642969.60000000009</v>
      </c>
      <c r="I28" s="1">
        <f t="shared" si="4"/>
        <v>723340.80000000005</v>
      </c>
      <c r="J28" s="1">
        <f t="shared" si="5"/>
        <v>361670.40000000002</v>
      </c>
      <c r="K28" s="1">
        <f t="shared" si="6"/>
        <v>321484.80000000005</v>
      </c>
      <c r="L28" s="1">
        <f t="shared" si="7"/>
        <v>241113.59999999998</v>
      </c>
      <c r="M28" s="1">
        <f t="shared" si="8"/>
        <v>160742.40000000002</v>
      </c>
      <c r="N28" s="1">
        <f t="shared" si="9"/>
        <v>80371.200000000012</v>
      </c>
    </row>
    <row r="29" spans="1:14" x14ac:dyDescent="0.35">
      <c r="A29" t="s">
        <v>44</v>
      </c>
      <c r="B29" t="s">
        <v>2</v>
      </c>
      <c r="C29" t="s">
        <v>1</v>
      </c>
      <c r="D29">
        <v>410592</v>
      </c>
      <c r="E29" s="1">
        <f t="shared" si="0"/>
        <v>451651.2</v>
      </c>
      <c r="F29" s="1">
        <f t="shared" si="1"/>
        <v>492710.39999999997</v>
      </c>
      <c r="G29" s="1">
        <f t="shared" si="2"/>
        <v>574828.79999999993</v>
      </c>
      <c r="H29" s="1">
        <f t="shared" si="3"/>
        <v>656947.20000000007</v>
      </c>
      <c r="I29" s="1">
        <f t="shared" si="4"/>
        <v>739065.6</v>
      </c>
      <c r="J29" s="1">
        <f t="shared" si="5"/>
        <v>369532.8</v>
      </c>
      <c r="K29" s="1">
        <f t="shared" si="6"/>
        <v>328473.60000000003</v>
      </c>
      <c r="L29" s="1">
        <f t="shared" si="7"/>
        <v>246355.19999999998</v>
      </c>
      <c r="M29" s="1">
        <f t="shared" si="8"/>
        <v>164236.80000000002</v>
      </c>
      <c r="N29" s="1">
        <f t="shared" si="9"/>
        <v>82118.400000000009</v>
      </c>
    </row>
    <row r="30" spans="1:14" x14ac:dyDescent="0.35">
      <c r="A30" t="s">
        <v>45</v>
      </c>
      <c r="B30" t="s">
        <v>2</v>
      </c>
      <c r="C30" t="s">
        <v>1</v>
      </c>
      <c r="D30">
        <v>165984</v>
      </c>
      <c r="E30" s="1">
        <f t="shared" si="0"/>
        <v>182582.40000000002</v>
      </c>
      <c r="F30" s="1">
        <f t="shared" si="1"/>
        <v>199180.79999999999</v>
      </c>
      <c r="G30" s="1">
        <f t="shared" si="2"/>
        <v>232377.59999999998</v>
      </c>
      <c r="H30" s="1">
        <f t="shared" si="3"/>
        <v>265574.40000000002</v>
      </c>
      <c r="I30" s="1">
        <f t="shared" si="4"/>
        <v>298771.20000000001</v>
      </c>
      <c r="J30" s="1">
        <f t="shared" si="5"/>
        <v>149385.60000000001</v>
      </c>
      <c r="K30" s="1">
        <f t="shared" si="6"/>
        <v>132787.20000000001</v>
      </c>
      <c r="L30" s="1">
        <f t="shared" si="7"/>
        <v>99590.399999999994</v>
      </c>
      <c r="M30" s="1">
        <f t="shared" si="8"/>
        <v>66393.600000000006</v>
      </c>
      <c r="N30" s="1">
        <f t="shared" si="9"/>
        <v>33196.800000000003</v>
      </c>
    </row>
    <row r="31" spans="1:14" x14ac:dyDescent="0.35">
      <c r="A31" t="s">
        <v>9</v>
      </c>
      <c r="B31" t="s">
        <v>2</v>
      </c>
      <c r="C31" t="s">
        <v>1</v>
      </c>
      <c r="D31">
        <v>87683232</v>
      </c>
      <c r="E31" s="1">
        <f t="shared" si="0"/>
        <v>96451555.200000003</v>
      </c>
      <c r="F31" s="1">
        <f t="shared" si="1"/>
        <v>105219878.39999999</v>
      </c>
      <c r="G31" s="1">
        <f t="shared" si="2"/>
        <v>122756524.8</v>
      </c>
      <c r="H31" s="1">
        <f t="shared" si="3"/>
        <v>140293171.20000002</v>
      </c>
      <c r="I31" s="1">
        <f t="shared" si="4"/>
        <v>157829817.59999999</v>
      </c>
      <c r="J31" s="1">
        <f t="shared" si="5"/>
        <v>78914908.799999997</v>
      </c>
      <c r="K31" s="1">
        <f t="shared" si="6"/>
        <v>70146585.600000009</v>
      </c>
      <c r="L31" s="1">
        <f t="shared" si="7"/>
        <v>52609939.199999996</v>
      </c>
      <c r="M31" s="1">
        <f t="shared" si="8"/>
        <v>35073292.800000004</v>
      </c>
      <c r="N31" s="1">
        <f t="shared" si="9"/>
        <v>17536646.400000002</v>
      </c>
    </row>
    <row r="32" spans="1:14" x14ac:dyDescent="0.35">
      <c r="A32" t="s">
        <v>46</v>
      </c>
      <c r="B32" t="s">
        <v>2</v>
      </c>
      <c r="C32" t="s">
        <v>1</v>
      </c>
      <c r="D32">
        <v>14431872</v>
      </c>
      <c r="E32" s="1">
        <f t="shared" si="0"/>
        <v>15875059.200000001</v>
      </c>
      <c r="F32" s="1">
        <f t="shared" si="1"/>
        <v>17318246.399999999</v>
      </c>
      <c r="G32" s="1">
        <f t="shared" si="2"/>
        <v>20204620.799999997</v>
      </c>
      <c r="H32" s="1">
        <f t="shared" si="3"/>
        <v>23090995.200000003</v>
      </c>
      <c r="I32" s="1">
        <f t="shared" si="4"/>
        <v>25977369.600000001</v>
      </c>
      <c r="J32" s="1">
        <f t="shared" si="5"/>
        <v>12988684.800000001</v>
      </c>
      <c r="K32" s="1">
        <f t="shared" si="6"/>
        <v>11545497.600000001</v>
      </c>
      <c r="L32" s="1">
        <f t="shared" si="7"/>
        <v>8659123.1999999993</v>
      </c>
      <c r="M32" s="1">
        <f t="shared" si="8"/>
        <v>5772748.8000000007</v>
      </c>
      <c r="N32" s="1">
        <f t="shared" si="9"/>
        <v>2886374.4000000004</v>
      </c>
    </row>
    <row r="33" spans="1:14" x14ac:dyDescent="0.35">
      <c r="A33" t="s">
        <v>47</v>
      </c>
      <c r="B33" t="s">
        <v>2</v>
      </c>
      <c r="C33" t="s">
        <v>1</v>
      </c>
      <c r="D33">
        <v>20162688</v>
      </c>
      <c r="E33" s="1">
        <f t="shared" si="0"/>
        <v>22178956.800000001</v>
      </c>
      <c r="F33" s="1">
        <f t="shared" si="1"/>
        <v>24195225.599999998</v>
      </c>
      <c r="G33" s="1">
        <f t="shared" si="2"/>
        <v>28227763.199999999</v>
      </c>
      <c r="H33" s="1">
        <f t="shared" si="3"/>
        <v>32260300.800000001</v>
      </c>
      <c r="I33" s="1">
        <f t="shared" si="4"/>
        <v>36292838.399999999</v>
      </c>
      <c r="J33" s="1">
        <f t="shared" si="5"/>
        <v>18146419.199999999</v>
      </c>
      <c r="K33" s="1">
        <f t="shared" si="6"/>
        <v>16130150.4</v>
      </c>
      <c r="L33" s="1">
        <f t="shared" si="7"/>
        <v>12097612.799999999</v>
      </c>
      <c r="M33" s="1">
        <f t="shared" si="8"/>
        <v>8065075.2000000002</v>
      </c>
      <c r="N33" s="1">
        <f t="shared" si="9"/>
        <v>4032537.6</v>
      </c>
    </row>
    <row r="34" spans="1:14" x14ac:dyDescent="0.35">
      <c r="A34" t="s">
        <v>48</v>
      </c>
      <c r="B34" t="s">
        <v>2</v>
      </c>
      <c r="C34" t="s">
        <v>1</v>
      </c>
      <c r="D34">
        <v>7469280</v>
      </c>
      <c r="E34" s="1">
        <f t="shared" si="0"/>
        <v>8216208.0000000009</v>
      </c>
      <c r="F34" s="1">
        <f t="shared" si="1"/>
        <v>8963136</v>
      </c>
      <c r="G34" s="1">
        <f t="shared" si="2"/>
        <v>10456992</v>
      </c>
      <c r="H34" s="1">
        <f t="shared" si="3"/>
        <v>11950848</v>
      </c>
      <c r="I34" s="1">
        <f t="shared" si="4"/>
        <v>13444704</v>
      </c>
      <c r="J34" s="1">
        <f t="shared" si="5"/>
        <v>6722352</v>
      </c>
      <c r="K34" s="1">
        <f t="shared" si="6"/>
        <v>5975424</v>
      </c>
      <c r="L34" s="1">
        <f t="shared" si="7"/>
        <v>4481568</v>
      </c>
      <c r="M34" s="1">
        <f t="shared" si="8"/>
        <v>2987712</v>
      </c>
      <c r="N34" s="1">
        <f t="shared" si="9"/>
        <v>1493856</v>
      </c>
    </row>
    <row r="35" spans="1:14" x14ac:dyDescent="0.35">
      <c r="A35" t="s">
        <v>49</v>
      </c>
      <c r="B35" t="s">
        <v>2</v>
      </c>
      <c r="C35" t="s">
        <v>1</v>
      </c>
      <c r="D35">
        <v>8500128</v>
      </c>
      <c r="E35" s="1">
        <f t="shared" si="0"/>
        <v>9350140.8000000007</v>
      </c>
      <c r="F35" s="1">
        <f t="shared" si="1"/>
        <v>10200153.6</v>
      </c>
      <c r="G35" s="1">
        <f t="shared" si="2"/>
        <v>11900179.199999999</v>
      </c>
      <c r="H35" s="1">
        <f t="shared" si="3"/>
        <v>13600204.800000001</v>
      </c>
      <c r="I35" s="1">
        <f t="shared" si="4"/>
        <v>15300230.4</v>
      </c>
      <c r="J35" s="1">
        <f t="shared" si="5"/>
        <v>7650115.2000000002</v>
      </c>
      <c r="K35" s="1">
        <f t="shared" si="6"/>
        <v>6800102.4000000004</v>
      </c>
      <c r="L35" s="1">
        <f t="shared" si="7"/>
        <v>5100076.8</v>
      </c>
      <c r="M35" s="1">
        <f t="shared" si="8"/>
        <v>3400051.2</v>
      </c>
      <c r="N35" s="1">
        <f t="shared" si="9"/>
        <v>1700025.6</v>
      </c>
    </row>
    <row r="36" spans="1:14" x14ac:dyDescent="0.35">
      <c r="A36" t="s">
        <v>50</v>
      </c>
      <c r="B36" t="s">
        <v>2</v>
      </c>
      <c r="C36" t="s">
        <v>1</v>
      </c>
      <c r="D36">
        <v>1886976</v>
      </c>
      <c r="E36" s="1">
        <f t="shared" si="0"/>
        <v>2075673.6000000001</v>
      </c>
      <c r="F36" s="1">
        <f t="shared" si="1"/>
        <v>2264371.1999999997</v>
      </c>
      <c r="G36" s="1">
        <f t="shared" si="2"/>
        <v>2641766.3999999999</v>
      </c>
      <c r="H36" s="1">
        <f t="shared" si="3"/>
        <v>3019161.6000000001</v>
      </c>
      <c r="I36" s="1">
        <f t="shared" si="4"/>
        <v>3396556.8000000003</v>
      </c>
      <c r="J36" s="1">
        <f t="shared" si="5"/>
        <v>1698278.4000000001</v>
      </c>
      <c r="K36" s="1">
        <f t="shared" si="6"/>
        <v>1509580.8</v>
      </c>
      <c r="L36" s="1">
        <f t="shared" si="7"/>
        <v>1132185.5999999999</v>
      </c>
      <c r="M36" s="1">
        <f t="shared" si="8"/>
        <v>754790.40000000002</v>
      </c>
      <c r="N36" s="1">
        <f t="shared" si="9"/>
        <v>377395.20000000001</v>
      </c>
    </row>
    <row r="37" spans="1:14" x14ac:dyDescent="0.35">
      <c r="A37" t="s">
        <v>51</v>
      </c>
      <c r="B37" t="s">
        <v>2</v>
      </c>
      <c r="C37" t="s">
        <v>1</v>
      </c>
      <c r="D37">
        <v>3433248</v>
      </c>
      <c r="E37" s="1">
        <f t="shared" si="0"/>
        <v>3776572.8000000003</v>
      </c>
      <c r="F37" s="1">
        <f t="shared" si="1"/>
        <v>4119897.5999999996</v>
      </c>
      <c r="G37" s="1">
        <f t="shared" si="2"/>
        <v>4806547.1999999993</v>
      </c>
      <c r="H37" s="1">
        <f t="shared" si="3"/>
        <v>5493196.8000000007</v>
      </c>
      <c r="I37" s="1">
        <f t="shared" si="4"/>
        <v>6179846.4000000004</v>
      </c>
      <c r="J37" s="1">
        <f t="shared" si="5"/>
        <v>3089923.2</v>
      </c>
      <c r="K37" s="1">
        <f t="shared" si="6"/>
        <v>2746598.4000000004</v>
      </c>
      <c r="L37" s="1">
        <f t="shared" si="7"/>
        <v>2059948.7999999998</v>
      </c>
      <c r="M37" s="1">
        <f t="shared" si="8"/>
        <v>1373299.2000000002</v>
      </c>
      <c r="N37" s="1">
        <f t="shared" si="9"/>
        <v>686649.60000000009</v>
      </c>
    </row>
    <row r="38" spans="1:14" x14ac:dyDescent="0.35">
      <c r="A38" t="s">
        <v>52</v>
      </c>
      <c r="B38" t="s">
        <v>2</v>
      </c>
      <c r="C38" t="s">
        <v>1</v>
      </c>
      <c r="D38">
        <v>1834560</v>
      </c>
      <c r="E38" s="1">
        <f t="shared" si="0"/>
        <v>2018016.0000000002</v>
      </c>
      <c r="F38" s="1">
        <f t="shared" si="1"/>
        <v>2201472</v>
      </c>
      <c r="G38" s="1">
        <f t="shared" si="2"/>
        <v>2568384</v>
      </c>
      <c r="H38" s="1">
        <f t="shared" si="3"/>
        <v>2935296</v>
      </c>
      <c r="I38" s="1">
        <f t="shared" si="4"/>
        <v>3302208</v>
      </c>
      <c r="J38" s="1">
        <f t="shared" si="5"/>
        <v>1651104</v>
      </c>
      <c r="K38" s="1">
        <f t="shared" si="6"/>
        <v>1467648</v>
      </c>
      <c r="L38" s="1">
        <f t="shared" si="7"/>
        <v>1100736</v>
      </c>
      <c r="M38" s="1">
        <f t="shared" si="8"/>
        <v>733824</v>
      </c>
      <c r="N38" s="1">
        <f t="shared" si="9"/>
        <v>366912</v>
      </c>
    </row>
    <row r="39" spans="1:14" x14ac:dyDescent="0.35">
      <c r="A39" t="s">
        <v>53</v>
      </c>
      <c r="B39" t="s">
        <v>2</v>
      </c>
      <c r="C39" t="s">
        <v>1</v>
      </c>
      <c r="D39">
        <v>18773664</v>
      </c>
      <c r="E39" s="1">
        <f t="shared" si="0"/>
        <v>20651030.400000002</v>
      </c>
      <c r="F39" s="1">
        <f t="shared" si="1"/>
        <v>22528396.800000001</v>
      </c>
      <c r="G39" s="1">
        <f t="shared" si="2"/>
        <v>26283129.599999998</v>
      </c>
      <c r="H39" s="1">
        <f t="shared" si="3"/>
        <v>30037862.400000002</v>
      </c>
      <c r="I39" s="1">
        <f t="shared" si="4"/>
        <v>33792595.200000003</v>
      </c>
      <c r="J39" s="1">
        <f t="shared" si="5"/>
        <v>16896297.600000001</v>
      </c>
      <c r="K39" s="1">
        <f t="shared" si="6"/>
        <v>15018931.200000001</v>
      </c>
      <c r="L39" s="1">
        <f t="shared" si="7"/>
        <v>11264198.4</v>
      </c>
      <c r="M39" s="1">
        <f t="shared" si="8"/>
        <v>7509465.6000000006</v>
      </c>
      <c r="N39" s="1">
        <f t="shared" si="9"/>
        <v>3754732.8000000003</v>
      </c>
    </row>
    <row r="40" spans="1:14" x14ac:dyDescent="0.35">
      <c r="A40" t="s">
        <v>54</v>
      </c>
      <c r="B40" t="s">
        <v>2</v>
      </c>
      <c r="C40" t="s">
        <v>1</v>
      </c>
      <c r="D40">
        <v>5984160</v>
      </c>
      <c r="E40" s="1">
        <f t="shared" si="0"/>
        <v>6582576.0000000009</v>
      </c>
      <c r="F40" s="1">
        <f t="shared" si="1"/>
        <v>7180992</v>
      </c>
      <c r="G40" s="1">
        <f t="shared" si="2"/>
        <v>8377823.9999999991</v>
      </c>
      <c r="H40" s="1">
        <f t="shared" si="3"/>
        <v>9574656</v>
      </c>
      <c r="I40" s="1">
        <f t="shared" si="4"/>
        <v>10771488</v>
      </c>
      <c r="J40" s="1">
        <f t="shared" si="5"/>
        <v>5385744</v>
      </c>
      <c r="K40" s="1">
        <f t="shared" si="6"/>
        <v>4787328</v>
      </c>
      <c r="L40" s="1">
        <f t="shared" si="7"/>
        <v>3590496</v>
      </c>
      <c r="M40" s="1">
        <f t="shared" si="8"/>
        <v>2393664</v>
      </c>
      <c r="N40" s="1">
        <f t="shared" si="9"/>
        <v>1196832</v>
      </c>
    </row>
    <row r="41" spans="1:14" x14ac:dyDescent="0.35">
      <c r="A41" t="s">
        <v>72</v>
      </c>
      <c r="B41" t="s">
        <v>2</v>
      </c>
      <c r="C41" t="s">
        <v>1</v>
      </c>
      <c r="D41" s="1">
        <v>37216146.240000002</v>
      </c>
      <c r="E41" s="1">
        <f t="shared" si="0"/>
        <v>40937760.864000008</v>
      </c>
      <c r="F41" s="1">
        <f t="shared" si="1"/>
        <v>44659375.487999998</v>
      </c>
      <c r="G41" s="1">
        <f t="shared" si="2"/>
        <v>52102604.736000001</v>
      </c>
      <c r="H41" s="1">
        <f t="shared" si="3"/>
        <v>59545833.984000005</v>
      </c>
      <c r="I41" s="1">
        <f t="shared" si="4"/>
        <v>66989063.232000008</v>
      </c>
      <c r="J41" s="1">
        <f t="shared" si="5"/>
        <v>33494531.616000004</v>
      </c>
      <c r="K41" s="1">
        <f t="shared" si="6"/>
        <v>29772916.992000002</v>
      </c>
      <c r="L41" s="1">
        <f t="shared" si="7"/>
        <v>22329687.743999999</v>
      </c>
      <c r="M41" s="1">
        <f t="shared" si="8"/>
        <v>14886458.496000001</v>
      </c>
      <c r="N41" s="1">
        <f t="shared" si="9"/>
        <v>7443229.2480000006</v>
      </c>
    </row>
    <row r="42" spans="1:14" x14ac:dyDescent="0.35">
      <c r="A42" t="s">
        <v>69</v>
      </c>
      <c r="B42" t="s">
        <v>2</v>
      </c>
      <c r="C42" t="s">
        <v>1</v>
      </c>
      <c r="D42" s="1">
        <v>75293137.919999987</v>
      </c>
      <c r="E42" s="1">
        <f t="shared" si="0"/>
        <v>82822451.711999997</v>
      </c>
      <c r="F42" s="1">
        <f t="shared" si="1"/>
        <v>90351765.503999978</v>
      </c>
      <c r="G42" s="1">
        <f t="shared" si="2"/>
        <v>105410393.08799997</v>
      </c>
      <c r="H42" s="1">
        <f t="shared" si="3"/>
        <v>120469020.67199999</v>
      </c>
      <c r="I42" s="1">
        <f t="shared" si="4"/>
        <v>135527648.25599998</v>
      </c>
      <c r="J42" s="1">
        <f t="shared" si="5"/>
        <v>67763824.127999991</v>
      </c>
      <c r="K42" s="1">
        <f t="shared" si="6"/>
        <v>60234510.335999995</v>
      </c>
      <c r="L42" s="1">
        <f t="shared" si="7"/>
        <v>45175882.751999989</v>
      </c>
      <c r="M42" s="1">
        <f t="shared" si="8"/>
        <v>30117255.167999998</v>
      </c>
      <c r="N42" s="1">
        <f t="shared" si="9"/>
        <v>15058627.583999999</v>
      </c>
    </row>
    <row r="43" spans="1:14" x14ac:dyDescent="0.35">
      <c r="A43" t="s">
        <v>73</v>
      </c>
      <c r="B43" t="s">
        <v>2</v>
      </c>
      <c r="C43" t="s">
        <v>1</v>
      </c>
      <c r="D43" s="1">
        <v>3059696.64</v>
      </c>
      <c r="E43" s="1">
        <f t="shared" si="0"/>
        <v>3365666.3040000005</v>
      </c>
      <c r="F43" s="1">
        <f t="shared" si="1"/>
        <v>3671635.9679999999</v>
      </c>
      <c r="G43" s="1">
        <f t="shared" si="2"/>
        <v>4283575.2960000001</v>
      </c>
      <c r="H43" s="1">
        <f t="shared" si="3"/>
        <v>4895514.6240000008</v>
      </c>
      <c r="I43" s="1">
        <f t="shared" si="4"/>
        <v>5507453.9520000005</v>
      </c>
      <c r="J43" s="1">
        <f t="shared" si="5"/>
        <v>2753726.9760000003</v>
      </c>
      <c r="K43" s="1">
        <f t="shared" si="6"/>
        <v>2447757.3120000004</v>
      </c>
      <c r="L43" s="1">
        <f t="shared" si="7"/>
        <v>1835817.9839999999</v>
      </c>
      <c r="M43" s="1">
        <f t="shared" si="8"/>
        <v>1223878.6560000002</v>
      </c>
      <c r="N43" s="1">
        <f t="shared" si="9"/>
        <v>611939.3280000001</v>
      </c>
    </row>
    <row r="44" spans="1:14" x14ac:dyDescent="0.35">
      <c r="A44" t="s">
        <v>74</v>
      </c>
      <c r="B44" t="s">
        <v>2</v>
      </c>
      <c r="C44" t="s">
        <v>1</v>
      </c>
      <c r="D44" s="1">
        <v>59697106.560000002</v>
      </c>
      <c r="E44" s="1">
        <f t="shared" si="0"/>
        <v>65666817.216000006</v>
      </c>
      <c r="F44" s="1">
        <f t="shared" si="1"/>
        <v>71636527.871999994</v>
      </c>
      <c r="G44" s="1">
        <f t="shared" si="2"/>
        <v>83575949.184</v>
      </c>
      <c r="H44" s="1">
        <f t="shared" si="3"/>
        <v>95515370.496000007</v>
      </c>
      <c r="I44" s="1">
        <f t="shared" si="4"/>
        <v>107454791.80800001</v>
      </c>
      <c r="J44" s="1">
        <f t="shared" si="5"/>
        <v>53727395.904000007</v>
      </c>
      <c r="K44" s="1">
        <f t="shared" si="6"/>
        <v>47757685.248000003</v>
      </c>
      <c r="L44" s="1">
        <f t="shared" si="7"/>
        <v>35818263.935999997</v>
      </c>
      <c r="M44" s="1">
        <f t="shared" si="8"/>
        <v>23878842.624000002</v>
      </c>
      <c r="N44" s="1">
        <f t="shared" si="9"/>
        <v>11939421.312000001</v>
      </c>
    </row>
    <row r="45" spans="1:14" x14ac:dyDescent="0.35">
      <c r="A45" t="s">
        <v>55</v>
      </c>
      <c r="B45" t="s">
        <v>2</v>
      </c>
      <c r="C45" t="s">
        <v>1</v>
      </c>
      <c r="D45" s="1">
        <v>150742300.79999998</v>
      </c>
      <c r="E45" s="1">
        <f t="shared" si="0"/>
        <v>165816530.88</v>
      </c>
      <c r="F45" s="1">
        <f t="shared" si="1"/>
        <v>180890760.95999998</v>
      </c>
      <c r="G45" s="1">
        <f t="shared" si="2"/>
        <v>211039221.11999997</v>
      </c>
      <c r="H45" s="1">
        <f t="shared" si="3"/>
        <v>241187681.27999997</v>
      </c>
      <c r="I45" s="1">
        <f t="shared" si="4"/>
        <v>271336141.44</v>
      </c>
      <c r="J45" s="1">
        <f t="shared" si="5"/>
        <v>135668070.72</v>
      </c>
      <c r="K45" s="1">
        <f t="shared" si="6"/>
        <v>120593840.63999999</v>
      </c>
      <c r="L45" s="1">
        <f t="shared" si="7"/>
        <v>90445380.479999989</v>
      </c>
      <c r="M45" s="1">
        <f t="shared" si="8"/>
        <v>60296920.319999993</v>
      </c>
      <c r="N45" s="1">
        <f t="shared" si="9"/>
        <v>30148460.159999996</v>
      </c>
    </row>
    <row r="46" spans="1:14" x14ac:dyDescent="0.35">
      <c r="A46" t="s">
        <v>75</v>
      </c>
      <c r="B46" t="s">
        <v>2</v>
      </c>
      <c r="C46" t="s">
        <v>1</v>
      </c>
      <c r="D46" s="1">
        <v>24007925.759999998</v>
      </c>
      <c r="E46" s="1">
        <f t="shared" si="0"/>
        <v>26408718.335999999</v>
      </c>
      <c r="F46" s="1">
        <f t="shared" si="1"/>
        <v>28809510.911999997</v>
      </c>
      <c r="G46" s="1">
        <f t="shared" si="2"/>
        <v>33611096.063999996</v>
      </c>
      <c r="H46" s="1">
        <f t="shared" si="3"/>
        <v>38412681.215999998</v>
      </c>
      <c r="I46" s="1">
        <f t="shared" si="4"/>
        <v>43214266.368000001</v>
      </c>
      <c r="J46" s="1">
        <f t="shared" si="5"/>
        <v>21607133.184</v>
      </c>
      <c r="K46" s="1">
        <f t="shared" si="6"/>
        <v>19206340.607999999</v>
      </c>
      <c r="L46" s="1">
        <f t="shared" si="7"/>
        <v>14404755.455999998</v>
      </c>
      <c r="M46" s="1">
        <f t="shared" si="8"/>
        <v>9603170.3039999995</v>
      </c>
      <c r="N46" s="1">
        <f t="shared" si="9"/>
        <v>4801585.1519999998</v>
      </c>
    </row>
    <row r="47" spans="1:14" x14ac:dyDescent="0.35">
      <c r="A47" t="s">
        <v>76</v>
      </c>
      <c r="B47" t="s">
        <v>2</v>
      </c>
      <c r="C47" t="s">
        <v>1</v>
      </c>
      <c r="D47" s="1">
        <v>23800707.84</v>
      </c>
      <c r="E47" s="1">
        <f t="shared" si="0"/>
        <v>26180778.624000002</v>
      </c>
      <c r="F47" s="1">
        <f t="shared" si="1"/>
        <v>28560849.408</v>
      </c>
      <c r="G47" s="1">
        <f t="shared" si="2"/>
        <v>33320990.975999996</v>
      </c>
      <c r="H47" s="1">
        <f t="shared" si="3"/>
        <v>38081132.544</v>
      </c>
      <c r="I47" s="1">
        <f t="shared" si="4"/>
        <v>42841274.112000003</v>
      </c>
      <c r="J47" s="1">
        <f t="shared" si="5"/>
        <v>21420637.056000002</v>
      </c>
      <c r="K47" s="1">
        <f t="shared" si="6"/>
        <v>19040566.272</v>
      </c>
      <c r="L47" s="1">
        <f t="shared" si="7"/>
        <v>14280424.704</v>
      </c>
      <c r="M47" s="1">
        <f t="shared" si="8"/>
        <v>9520283.1359999999</v>
      </c>
      <c r="N47" s="1">
        <f t="shared" si="9"/>
        <v>4760141.568</v>
      </c>
    </row>
    <row r="48" spans="1:14" x14ac:dyDescent="0.35">
      <c r="A48" t="s">
        <v>56</v>
      </c>
      <c r="B48" t="s">
        <v>2</v>
      </c>
      <c r="C48" t="s">
        <v>1</v>
      </c>
      <c r="D48" s="1">
        <v>4867524.4799999995</v>
      </c>
      <c r="E48" s="1">
        <f t="shared" si="0"/>
        <v>5354276.9280000003</v>
      </c>
      <c r="F48" s="1">
        <f t="shared" si="1"/>
        <v>5841029.3759999992</v>
      </c>
      <c r="G48" s="1">
        <f t="shared" si="2"/>
        <v>6814534.2719999989</v>
      </c>
      <c r="H48" s="1">
        <f t="shared" si="3"/>
        <v>7788039.1679999996</v>
      </c>
      <c r="I48" s="1">
        <f t="shared" si="4"/>
        <v>8761544.0639999993</v>
      </c>
      <c r="J48" s="1">
        <f t="shared" si="5"/>
        <v>4380772.0319999997</v>
      </c>
      <c r="K48" s="1">
        <f t="shared" si="6"/>
        <v>3894019.5839999998</v>
      </c>
      <c r="L48" s="1">
        <f t="shared" si="7"/>
        <v>2920514.6879999996</v>
      </c>
      <c r="M48" s="1">
        <f t="shared" si="8"/>
        <v>1947009.7919999999</v>
      </c>
      <c r="N48" s="1">
        <f t="shared" si="9"/>
        <v>973504.89599999995</v>
      </c>
    </row>
    <row r="49" spans="1:14" x14ac:dyDescent="0.35">
      <c r="A49" t="s">
        <v>57</v>
      </c>
      <c r="B49" t="s">
        <v>2</v>
      </c>
      <c r="C49" t="s">
        <v>1</v>
      </c>
      <c r="D49" s="1">
        <v>8128760.6399999997</v>
      </c>
      <c r="E49" s="1">
        <f t="shared" si="0"/>
        <v>8941636.7039999999</v>
      </c>
      <c r="F49" s="1">
        <f t="shared" si="1"/>
        <v>9754512.7679999992</v>
      </c>
      <c r="G49" s="1">
        <f t="shared" si="2"/>
        <v>11380264.896</v>
      </c>
      <c r="H49" s="1">
        <f t="shared" si="3"/>
        <v>13006017.024</v>
      </c>
      <c r="I49" s="1">
        <f t="shared" si="4"/>
        <v>14631769.151999999</v>
      </c>
      <c r="J49" s="1">
        <f t="shared" si="5"/>
        <v>7315884.5759999994</v>
      </c>
      <c r="K49" s="1">
        <f t="shared" si="6"/>
        <v>6503008.5120000001</v>
      </c>
      <c r="L49" s="1">
        <f t="shared" si="7"/>
        <v>4877256.3839999996</v>
      </c>
      <c r="M49" s="1">
        <f t="shared" si="8"/>
        <v>3251504.2560000001</v>
      </c>
      <c r="N49" s="1">
        <f t="shared" si="9"/>
        <v>1625752.128</v>
      </c>
    </row>
    <row r="50" spans="1:14" x14ac:dyDescent="0.35">
      <c r="A50" t="s">
        <v>58</v>
      </c>
      <c r="B50" t="s">
        <v>2</v>
      </c>
      <c r="C50" t="s">
        <v>1</v>
      </c>
      <c r="D50" s="1">
        <v>7136176.3200000003</v>
      </c>
      <c r="E50" s="1">
        <f t="shared" si="0"/>
        <v>7849793.9520000005</v>
      </c>
      <c r="F50" s="1">
        <f t="shared" si="1"/>
        <v>8563411.5840000007</v>
      </c>
      <c r="G50" s="1">
        <f t="shared" si="2"/>
        <v>9990646.8479999993</v>
      </c>
      <c r="H50" s="1">
        <f t="shared" si="3"/>
        <v>11417882.112000002</v>
      </c>
      <c r="I50" s="1">
        <f t="shared" si="4"/>
        <v>12845117.376</v>
      </c>
      <c r="J50" s="1">
        <f t="shared" si="5"/>
        <v>6422558.6880000001</v>
      </c>
      <c r="K50" s="1">
        <f t="shared" si="6"/>
        <v>5708941.0560000008</v>
      </c>
      <c r="L50" s="1">
        <f t="shared" si="7"/>
        <v>4281705.7920000004</v>
      </c>
      <c r="M50" s="1">
        <f t="shared" si="8"/>
        <v>2854470.5280000004</v>
      </c>
      <c r="N50" s="1">
        <f t="shared" si="9"/>
        <v>1427235.2640000002</v>
      </c>
    </row>
    <row r="51" spans="1:14" x14ac:dyDescent="0.35">
      <c r="A51" t="s">
        <v>77</v>
      </c>
      <c r="B51" t="s">
        <v>2</v>
      </c>
      <c r="C51" t="s">
        <v>1</v>
      </c>
      <c r="D51" s="1">
        <v>8038954.5600000005</v>
      </c>
      <c r="E51" s="1">
        <f t="shared" si="0"/>
        <v>8842850.0160000008</v>
      </c>
      <c r="F51" s="1">
        <f t="shared" si="1"/>
        <v>9646745.472000001</v>
      </c>
      <c r="G51" s="1">
        <f t="shared" si="2"/>
        <v>11254536.384</v>
      </c>
      <c r="H51" s="1">
        <f t="shared" si="3"/>
        <v>12862327.296000002</v>
      </c>
      <c r="I51" s="1">
        <f t="shared" si="4"/>
        <v>14470118.208000001</v>
      </c>
      <c r="J51" s="1">
        <f t="shared" si="5"/>
        <v>7235059.1040000003</v>
      </c>
      <c r="K51" s="1">
        <f t="shared" si="6"/>
        <v>6431163.648000001</v>
      </c>
      <c r="L51" s="1">
        <f t="shared" si="7"/>
        <v>4823372.7360000005</v>
      </c>
      <c r="M51" s="1">
        <f t="shared" si="8"/>
        <v>3215581.8240000005</v>
      </c>
      <c r="N51" s="1">
        <f t="shared" si="9"/>
        <v>1607790.9120000002</v>
      </c>
    </row>
    <row r="52" spans="1:14" x14ac:dyDescent="0.35">
      <c r="A52" t="s">
        <v>59</v>
      </c>
      <c r="B52" t="s">
        <v>2</v>
      </c>
      <c r="C52" t="s">
        <v>1</v>
      </c>
      <c r="D52" s="1">
        <v>6510940.7999999998</v>
      </c>
      <c r="E52" s="1">
        <f t="shared" si="0"/>
        <v>7162034.8800000008</v>
      </c>
      <c r="F52" s="1">
        <f t="shared" si="1"/>
        <v>7813128.959999999</v>
      </c>
      <c r="G52" s="1">
        <f t="shared" si="2"/>
        <v>9115317.1199999992</v>
      </c>
      <c r="H52" s="1">
        <f t="shared" si="3"/>
        <v>10417505.280000001</v>
      </c>
      <c r="I52" s="1">
        <f t="shared" si="4"/>
        <v>11719693.439999999</v>
      </c>
      <c r="J52" s="1">
        <f t="shared" si="5"/>
        <v>5859846.7199999997</v>
      </c>
      <c r="K52" s="1">
        <f t="shared" si="6"/>
        <v>5208752.6400000006</v>
      </c>
      <c r="L52" s="1">
        <f t="shared" si="7"/>
        <v>3906564.4799999995</v>
      </c>
      <c r="M52" s="1">
        <f t="shared" si="8"/>
        <v>2604376.3200000003</v>
      </c>
      <c r="N52" s="1">
        <f t="shared" si="9"/>
        <v>1302188.1600000001</v>
      </c>
    </row>
    <row r="53" spans="1:14" x14ac:dyDescent="0.35">
      <c r="A53" t="s">
        <v>78</v>
      </c>
      <c r="B53" t="s">
        <v>2</v>
      </c>
      <c r="C53" t="s">
        <v>1</v>
      </c>
      <c r="D53" s="1">
        <v>561025.92000000004</v>
      </c>
      <c r="E53" s="1">
        <f t="shared" si="0"/>
        <v>617128.5120000001</v>
      </c>
      <c r="F53" s="1">
        <f t="shared" si="1"/>
        <v>673231.10400000005</v>
      </c>
      <c r="G53" s="1">
        <f t="shared" si="2"/>
        <v>785436.28800000006</v>
      </c>
      <c r="H53" s="1">
        <f t="shared" si="3"/>
        <v>897641.47200000007</v>
      </c>
      <c r="I53" s="1">
        <f t="shared" si="4"/>
        <v>1009846.6560000001</v>
      </c>
      <c r="J53" s="1">
        <f t="shared" si="5"/>
        <v>504923.32800000004</v>
      </c>
      <c r="K53" s="1">
        <f t="shared" si="6"/>
        <v>448820.73600000003</v>
      </c>
      <c r="L53" s="1">
        <f t="shared" si="7"/>
        <v>336615.55200000003</v>
      </c>
      <c r="M53" s="1">
        <f t="shared" si="8"/>
        <v>224410.36800000002</v>
      </c>
      <c r="N53" s="1">
        <f t="shared" si="9"/>
        <v>112205.18400000001</v>
      </c>
    </row>
    <row r="54" spans="1:14" x14ac:dyDescent="0.35">
      <c r="A54" t="s">
        <v>60</v>
      </c>
      <c r="B54" t="s">
        <v>2</v>
      </c>
      <c r="C54" t="s">
        <v>1</v>
      </c>
      <c r="D54" s="1">
        <v>2157180.48</v>
      </c>
      <c r="E54" s="1">
        <f t="shared" si="0"/>
        <v>2372898.5280000004</v>
      </c>
      <c r="F54" s="1">
        <f t="shared" si="1"/>
        <v>2588616.5759999999</v>
      </c>
      <c r="G54" s="1">
        <f t="shared" si="2"/>
        <v>3020052.6719999998</v>
      </c>
      <c r="H54" s="1">
        <f t="shared" si="3"/>
        <v>3451488.7680000002</v>
      </c>
      <c r="I54" s="1">
        <f t="shared" si="4"/>
        <v>3882924.8640000001</v>
      </c>
      <c r="J54" s="1">
        <f t="shared" si="5"/>
        <v>1941462.432</v>
      </c>
      <c r="K54" s="1">
        <f t="shared" si="6"/>
        <v>1725744.3840000001</v>
      </c>
      <c r="L54" s="1">
        <f t="shared" si="7"/>
        <v>1294308.2879999999</v>
      </c>
      <c r="M54" s="1">
        <f t="shared" si="8"/>
        <v>862872.19200000004</v>
      </c>
      <c r="N54" s="1">
        <f t="shared" si="9"/>
        <v>431436.09600000002</v>
      </c>
    </row>
    <row r="55" spans="1:14" x14ac:dyDescent="0.35">
      <c r="A55" t="s">
        <v>61</v>
      </c>
      <c r="B55" t="s">
        <v>2</v>
      </c>
      <c r="C55" t="s">
        <v>1</v>
      </c>
      <c r="D55" s="1">
        <v>1585933.44</v>
      </c>
      <c r="E55" s="1">
        <f t="shared" si="0"/>
        <v>1744526.784</v>
      </c>
      <c r="F55" s="1">
        <f t="shared" si="1"/>
        <v>1903120.1279999998</v>
      </c>
      <c r="G55" s="1">
        <f t="shared" si="2"/>
        <v>2220306.8159999996</v>
      </c>
      <c r="H55" s="1">
        <f t="shared" si="3"/>
        <v>2537493.5040000002</v>
      </c>
      <c r="I55" s="1">
        <f t="shared" si="4"/>
        <v>2854680.1919999998</v>
      </c>
      <c r="J55" s="1">
        <f t="shared" si="5"/>
        <v>1427340.0959999999</v>
      </c>
      <c r="K55" s="1">
        <f t="shared" si="6"/>
        <v>1268746.7520000001</v>
      </c>
      <c r="L55" s="1">
        <f t="shared" si="7"/>
        <v>951560.0639999999</v>
      </c>
      <c r="M55" s="1">
        <f t="shared" si="8"/>
        <v>634373.37600000005</v>
      </c>
      <c r="N55" s="1">
        <f t="shared" si="9"/>
        <v>317186.68800000002</v>
      </c>
    </row>
    <row r="56" spans="1:14" x14ac:dyDescent="0.35">
      <c r="A56" t="s">
        <v>62</v>
      </c>
      <c r="B56" t="s">
        <v>2</v>
      </c>
      <c r="C56" t="s">
        <v>1</v>
      </c>
      <c r="D56" s="1">
        <v>1032682.5599999999</v>
      </c>
      <c r="E56" s="1">
        <f t="shared" si="0"/>
        <v>1135950.8160000001</v>
      </c>
      <c r="F56" s="1">
        <f t="shared" si="1"/>
        <v>1239219.0719999999</v>
      </c>
      <c r="G56" s="1">
        <f t="shared" si="2"/>
        <v>1445755.5839999998</v>
      </c>
      <c r="H56" s="1">
        <f t="shared" si="3"/>
        <v>1652292.0959999999</v>
      </c>
      <c r="I56" s="1">
        <f t="shared" si="4"/>
        <v>1858828.608</v>
      </c>
      <c r="J56" s="1">
        <f t="shared" si="5"/>
        <v>929414.304</v>
      </c>
      <c r="K56" s="1">
        <f t="shared" si="6"/>
        <v>826146.04799999995</v>
      </c>
      <c r="L56" s="1">
        <f t="shared" si="7"/>
        <v>619609.53599999996</v>
      </c>
      <c r="M56" s="1">
        <f t="shared" si="8"/>
        <v>413073.02399999998</v>
      </c>
      <c r="N56" s="1">
        <f t="shared" si="9"/>
        <v>206536.51199999999</v>
      </c>
    </row>
    <row r="57" spans="1:14" x14ac:dyDescent="0.35">
      <c r="A57" t="s">
        <v>63</v>
      </c>
      <c r="B57" t="s">
        <v>2</v>
      </c>
      <c r="C57" t="s">
        <v>1</v>
      </c>
      <c r="D57" s="1">
        <v>97909593.600000009</v>
      </c>
      <c r="E57" s="1">
        <f t="shared" si="0"/>
        <v>107700552.96000002</v>
      </c>
      <c r="F57" s="1">
        <f t="shared" si="1"/>
        <v>117491512.32000001</v>
      </c>
      <c r="G57" s="1">
        <f t="shared" si="2"/>
        <v>137073431.03999999</v>
      </c>
      <c r="H57" s="1">
        <f t="shared" si="3"/>
        <v>156655349.76000002</v>
      </c>
      <c r="I57" s="1">
        <f t="shared" si="4"/>
        <v>176237268.48000002</v>
      </c>
      <c r="J57" s="1">
        <f t="shared" si="5"/>
        <v>88118634.24000001</v>
      </c>
      <c r="K57" s="1">
        <f t="shared" si="6"/>
        <v>78327674.88000001</v>
      </c>
      <c r="L57" s="1">
        <f t="shared" si="7"/>
        <v>58745756.160000004</v>
      </c>
      <c r="M57" s="1">
        <f t="shared" si="8"/>
        <v>39163837.440000005</v>
      </c>
      <c r="N57" s="1">
        <f t="shared" si="9"/>
        <v>19581918.720000003</v>
      </c>
    </row>
    <row r="58" spans="1:14" x14ac:dyDescent="0.35">
      <c r="A58" t="s">
        <v>64</v>
      </c>
      <c r="B58" t="s">
        <v>2</v>
      </c>
      <c r="C58" t="s">
        <v>1</v>
      </c>
      <c r="D58" s="1">
        <v>1061074.56</v>
      </c>
      <c r="E58" s="1">
        <f t="shared" si="0"/>
        <v>1167182.0160000001</v>
      </c>
      <c r="F58" s="1">
        <f t="shared" si="1"/>
        <v>1273289.4720000001</v>
      </c>
      <c r="G58" s="1">
        <f t="shared" si="2"/>
        <v>1485504.3840000001</v>
      </c>
      <c r="H58" s="1">
        <f t="shared" si="3"/>
        <v>1697719.2960000001</v>
      </c>
      <c r="I58" s="1">
        <f t="shared" si="4"/>
        <v>1909934.2080000001</v>
      </c>
      <c r="J58" s="1">
        <f t="shared" si="5"/>
        <v>954967.10400000005</v>
      </c>
      <c r="K58" s="1">
        <f t="shared" si="6"/>
        <v>848859.64800000004</v>
      </c>
      <c r="L58" s="1">
        <f t="shared" si="7"/>
        <v>636644.73600000003</v>
      </c>
      <c r="M58" s="1">
        <f t="shared" si="8"/>
        <v>424429.82400000002</v>
      </c>
      <c r="N58" s="1">
        <f t="shared" si="9"/>
        <v>212214.91200000001</v>
      </c>
    </row>
    <row r="59" spans="1:14" x14ac:dyDescent="0.35">
      <c r="A59" t="s">
        <v>70</v>
      </c>
      <c r="B59" t="s">
        <v>2</v>
      </c>
      <c r="C59" t="s">
        <v>1</v>
      </c>
      <c r="D59" s="1">
        <v>34213495.68</v>
      </c>
      <c r="E59" s="1">
        <f t="shared" si="0"/>
        <v>37634845.248000003</v>
      </c>
      <c r="F59" s="1">
        <f t="shared" si="1"/>
        <v>41056194.816</v>
      </c>
      <c r="G59" s="1">
        <f t="shared" si="2"/>
        <v>47898893.952</v>
      </c>
      <c r="H59" s="1">
        <f t="shared" si="3"/>
        <v>54741593.088</v>
      </c>
      <c r="I59" s="1">
        <f t="shared" si="4"/>
        <v>61584292.223999999</v>
      </c>
      <c r="J59" s="1">
        <f t="shared" si="5"/>
        <v>30792146.112</v>
      </c>
      <c r="K59" s="1">
        <f t="shared" si="6"/>
        <v>27370796.544</v>
      </c>
      <c r="L59" s="1">
        <f t="shared" si="7"/>
        <v>20528097.408</v>
      </c>
      <c r="M59" s="1">
        <f t="shared" si="8"/>
        <v>13685398.272</v>
      </c>
      <c r="N59" s="1">
        <f t="shared" si="9"/>
        <v>6842699.1359999999</v>
      </c>
    </row>
    <row r="60" spans="1:14" x14ac:dyDescent="0.35">
      <c r="A60" t="s">
        <v>65</v>
      </c>
      <c r="B60" t="s">
        <v>2</v>
      </c>
      <c r="C60" t="s">
        <v>1</v>
      </c>
      <c r="D60" s="1">
        <v>4816244.1599999992</v>
      </c>
      <c r="E60" s="1">
        <f t="shared" si="0"/>
        <v>5297868.5759999994</v>
      </c>
      <c r="F60" s="1">
        <f t="shared" si="1"/>
        <v>5779492.9919999987</v>
      </c>
      <c r="G60" s="1">
        <f t="shared" si="2"/>
        <v>6742741.8239999982</v>
      </c>
      <c r="H60" s="1">
        <f t="shared" si="3"/>
        <v>7705990.6559999995</v>
      </c>
      <c r="I60" s="1">
        <f t="shared" si="4"/>
        <v>8669239.487999998</v>
      </c>
      <c r="J60" s="1">
        <f t="shared" si="5"/>
        <v>4334619.743999999</v>
      </c>
      <c r="K60" s="1">
        <f t="shared" si="6"/>
        <v>3852995.3279999997</v>
      </c>
      <c r="L60" s="1">
        <f t="shared" si="7"/>
        <v>2889746.4959999993</v>
      </c>
      <c r="M60" s="1">
        <f t="shared" si="8"/>
        <v>1926497.6639999999</v>
      </c>
      <c r="N60" s="1">
        <f t="shared" si="9"/>
        <v>963248.83199999994</v>
      </c>
    </row>
    <row r="61" spans="1:14" x14ac:dyDescent="0.35">
      <c r="A61" t="s">
        <v>79</v>
      </c>
      <c r="B61" t="s">
        <v>2</v>
      </c>
      <c r="C61" t="s">
        <v>1</v>
      </c>
      <c r="D61" s="1">
        <v>16904596.800000001</v>
      </c>
      <c r="E61" s="1">
        <f t="shared" si="0"/>
        <v>18595056.480000004</v>
      </c>
      <c r="F61" s="1">
        <f t="shared" si="1"/>
        <v>20285516.16</v>
      </c>
      <c r="G61" s="1">
        <f t="shared" si="2"/>
        <v>23666435.52</v>
      </c>
      <c r="H61" s="1">
        <f t="shared" si="3"/>
        <v>27047354.880000003</v>
      </c>
      <c r="I61" s="1">
        <f t="shared" si="4"/>
        <v>30428274.240000002</v>
      </c>
      <c r="J61" s="1">
        <f t="shared" si="5"/>
        <v>15214137.120000001</v>
      </c>
      <c r="K61" s="1">
        <f t="shared" si="6"/>
        <v>13523677.440000001</v>
      </c>
      <c r="L61" s="1">
        <f t="shared" si="7"/>
        <v>10142758.08</v>
      </c>
      <c r="M61" s="1">
        <f t="shared" si="8"/>
        <v>6761838.7200000007</v>
      </c>
      <c r="N61" s="1">
        <f t="shared" si="9"/>
        <v>3380919.3600000003</v>
      </c>
    </row>
    <row r="62" spans="1:14" x14ac:dyDescent="0.35">
      <c r="A62" t="s">
        <v>71</v>
      </c>
      <c r="B62" t="s">
        <v>2</v>
      </c>
      <c r="C62" t="s">
        <v>1</v>
      </c>
      <c r="D62" s="1">
        <v>3654094.0799999996</v>
      </c>
      <c r="E62" s="1">
        <f t="shared" si="0"/>
        <v>4019503.4879999999</v>
      </c>
      <c r="F62" s="1">
        <f t="shared" si="1"/>
        <v>4384912.8959999997</v>
      </c>
      <c r="G62" s="1">
        <f t="shared" si="2"/>
        <v>5115731.7119999994</v>
      </c>
      <c r="H62" s="1">
        <f t="shared" si="3"/>
        <v>5846550.5279999999</v>
      </c>
      <c r="I62" s="1">
        <f t="shared" si="4"/>
        <v>6577369.3439999996</v>
      </c>
      <c r="J62" s="1">
        <f t="shared" si="5"/>
        <v>3288684.6719999998</v>
      </c>
      <c r="K62" s="1">
        <f t="shared" si="6"/>
        <v>2923275.264</v>
      </c>
      <c r="L62" s="1">
        <f t="shared" si="7"/>
        <v>2192456.4479999999</v>
      </c>
      <c r="M62" s="1">
        <f t="shared" si="8"/>
        <v>1461637.632</v>
      </c>
      <c r="N62" s="1">
        <f t="shared" si="9"/>
        <v>730818.81599999999</v>
      </c>
    </row>
    <row r="63" spans="1:14" x14ac:dyDescent="0.35">
      <c r="A63" t="s">
        <v>80</v>
      </c>
      <c r="B63" t="s">
        <v>2</v>
      </c>
      <c r="C63" t="s">
        <v>1</v>
      </c>
      <c r="D63" s="1">
        <v>2952069.1200000001</v>
      </c>
      <c r="E63" s="1">
        <f t="shared" si="0"/>
        <v>3247276.0320000006</v>
      </c>
      <c r="F63" s="1">
        <f t="shared" si="1"/>
        <v>3542482.9440000001</v>
      </c>
      <c r="G63" s="1">
        <f t="shared" si="2"/>
        <v>4132896.7679999997</v>
      </c>
      <c r="H63" s="1">
        <f t="shared" si="3"/>
        <v>4723310.5920000002</v>
      </c>
      <c r="I63" s="1">
        <f t="shared" si="4"/>
        <v>5313724.4160000002</v>
      </c>
      <c r="J63" s="1">
        <f t="shared" si="5"/>
        <v>2656862.2080000001</v>
      </c>
      <c r="K63" s="1">
        <f t="shared" si="6"/>
        <v>2361655.2960000001</v>
      </c>
      <c r="L63" s="1">
        <f t="shared" si="7"/>
        <v>1771241.4720000001</v>
      </c>
      <c r="M63" s="1">
        <f t="shared" si="8"/>
        <v>1180827.648</v>
      </c>
      <c r="N63" s="1">
        <f t="shared" si="9"/>
        <v>590413.82400000002</v>
      </c>
    </row>
    <row r="64" spans="1:14" x14ac:dyDescent="0.35">
      <c r="A64" t="s">
        <v>66</v>
      </c>
      <c r="B64" t="s">
        <v>2</v>
      </c>
      <c r="C64" t="s">
        <v>1</v>
      </c>
      <c r="D64" s="1">
        <v>2175962.88</v>
      </c>
      <c r="E64" s="1">
        <f t="shared" si="0"/>
        <v>2393559.1680000001</v>
      </c>
      <c r="F64" s="1">
        <f t="shared" si="1"/>
        <v>2611155.4559999998</v>
      </c>
      <c r="G64" s="1">
        <f t="shared" si="2"/>
        <v>3046348.0319999997</v>
      </c>
      <c r="H64" s="1">
        <f t="shared" si="3"/>
        <v>3481540.608</v>
      </c>
      <c r="I64" s="1">
        <f t="shared" si="4"/>
        <v>3916733.1839999999</v>
      </c>
      <c r="J64" s="1">
        <f t="shared" si="5"/>
        <v>1958366.5919999999</v>
      </c>
      <c r="K64" s="1">
        <f t="shared" si="6"/>
        <v>1740770.304</v>
      </c>
      <c r="L64" s="1">
        <f t="shared" si="7"/>
        <v>1305577.7279999999</v>
      </c>
      <c r="M64" s="1">
        <f t="shared" si="8"/>
        <v>870385.152</v>
      </c>
      <c r="N64" s="1">
        <f t="shared" si="9"/>
        <v>435192.576</v>
      </c>
    </row>
    <row r="65" spans="1:14" x14ac:dyDescent="0.35">
      <c r="A65" t="s">
        <v>81</v>
      </c>
      <c r="B65" t="s">
        <v>2</v>
      </c>
      <c r="C65" t="s">
        <v>1</v>
      </c>
      <c r="D65" s="1">
        <v>216740.15999999997</v>
      </c>
      <c r="E65" s="1">
        <f t="shared" si="0"/>
        <v>238414.17599999998</v>
      </c>
      <c r="F65" s="1">
        <f t="shared" si="1"/>
        <v>260088.19199999995</v>
      </c>
      <c r="G65" s="1">
        <f t="shared" si="2"/>
        <v>303436.22399999993</v>
      </c>
      <c r="H65" s="1">
        <f t="shared" si="3"/>
        <v>346784.25599999999</v>
      </c>
      <c r="I65" s="1">
        <f t="shared" si="4"/>
        <v>390132.28799999994</v>
      </c>
      <c r="J65" s="1">
        <f t="shared" si="5"/>
        <v>195066.14399999997</v>
      </c>
      <c r="K65" s="1">
        <f t="shared" si="6"/>
        <v>173392.128</v>
      </c>
      <c r="L65" s="1">
        <f t="shared" si="7"/>
        <v>130044.09599999998</v>
      </c>
      <c r="M65" s="1">
        <f t="shared" si="8"/>
        <v>86696.063999999998</v>
      </c>
      <c r="N65" s="1">
        <f t="shared" si="9"/>
        <v>43348.031999999999</v>
      </c>
    </row>
    <row r="66" spans="1:14" x14ac:dyDescent="0.35">
      <c r="A66" t="s">
        <v>67</v>
      </c>
      <c r="B66" t="s">
        <v>2</v>
      </c>
      <c r="C66" t="s">
        <v>1</v>
      </c>
      <c r="D66" s="1">
        <v>1619829.1199999999</v>
      </c>
      <c r="E66" s="1">
        <f t="shared" si="0"/>
        <v>1781812.0320000001</v>
      </c>
      <c r="F66" s="1">
        <f t="shared" si="1"/>
        <v>1943794.9439999997</v>
      </c>
      <c r="G66" s="1">
        <f t="shared" si="2"/>
        <v>2267760.7679999997</v>
      </c>
      <c r="H66" s="1">
        <f t="shared" si="3"/>
        <v>2591726.5920000002</v>
      </c>
      <c r="I66" s="1">
        <f t="shared" si="4"/>
        <v>2915692.4159999997</v>
      </c>
      <c r="J66" s="1">
        <f t="shared" si="5"/>
        <v>1457846.2079999999</v>
      </c>
      <c r="K66" s="1">
        <f t="shared" si="6"/>
        <v>1295863.2960000001</v>
      </c>
      <c r="L66" s="1">
        <f t="shared" si="7"/>
        <v>971897.47199999983</v>
      </c>
      <c r="M66" s="1">
        <f t="shared" si="8"/>
        <v>647931.64800000004</v>
      </c>
      <c r="N66" s="1">
        <f t="shared" si="9"/>
        <v>323965.82400000002</v>
      </c>
    </row>
    <row r="67" spans="1:14" x14ac:dyDescent="0.35">
      <c r="A67" t="s">
        <v>82</v>
      </c>
      <c r="B67" t="s">
        <v>2</v>
      </c>
      <c r="C67" t="s">
        <v>1</v>
      </c>
      <c r="D67" s="1">
        <v>4491701.76</v>
      </c>
      <c r="E67" s="1">
        <f t="shared" ref="E67:E130" si="10">D67*1.1</f>
        <v>4940871.9359999998</v>
      </c>
      <c r="F67" s="1">
        <f t="shared" ref="F67:F130" si="11">D67*1.2</f>
        <v>5390042.1119999997</v>
      </c>
      <c r="G67" s="1">
        <f t="shared" ref="G67:G130" si="12">D67*1.4</f>
        <v>6288382.4639999997</v>
      </c>
      <c r="H67" s="1">
        <f t="shared" ref="H67:H130" si="13">D67*1.6</f>
        <v>7186722.8159999996</v>
      </c>
      <c r="I67" s="1">
        <f t="shared" ref="I67:I130" si="14">D67*1.8</f>
        <v>8085063.1679999996</v>
      </c>
      <c r="J67" s="1">
        <f t="shared" ref="J67:J130" si="15">D67*0.9</f>
        <v>4042531.5839999998</v>
      </c>
      <c r="K67" s="1">
        <f t="shared" ref="K67:K130" si="16">D67*0.8</f>
        <v>3593361.4079999998</v>
      </c>
      <c r="L67" s="1">
        <f t="shared" ref="L67:L130" si="17">D67*0.6</f>
        <v>2695021.0559999999</v>
      </c>
      <c r="M67" s="1">
        <f t="shared" ref="M67:M130" si="18">D67*0.4</f>
        <v>1796680.7039999999</v>
      </c>
      <c r="N67" s="1">
        <f t="shared" ref="N67:N130" si="19">D67*0.2</f>
        <v>898340.35199999996</v>
      </c>
    </row>
    <row r="68" spans="1:14" x14ac:dyDescent="0.35">
      <c r="A68" t="s">
        <v>68</v>
      </c>
      <c r="B68" t="s">
        <v>2</v>
      </c>
      <c r="C68" t="s">
        <v>1</v>
      </c>
      <c r="D68" s="1">
        <v>1173166176</v>
      </c>
      <c r="E68" s="1">
        <f t="shared" si="10"/>
        <v>1290482793.6000001</v>
      </c>
      <c r="F68" s="1">
        <f t="shared" si="11"/>
        <v>1407799411.2</v>
      </c>
      <c r="G68" s="1">
        <f t="shared" si="12"/>
        <v>1642432646.3999999</v>
      </c>
      <c r="H68" s="1">
        <f t="shared" si="13"/>
        <v>1877065881.6000001</v>
      </c>
      <c r="I68" s="1">
        <f t="shared" si="14"/>
        <v>2111699116.8</v>
      </c>
      <c r="J68" s="1">
        <f t="shared" si="15"/>
        <v>1055849558.4</v>
      </c>
      <c r="K68" s="1">
        <f t="shared" si="16"/>
        <v>938532940.80000007</v>
      </c>
      <c r="L68" s="1">
        <f t="shared" si="17"/>
        <v>703899705.60000002</v>
      </c>
      <c r="M68" s="1">
        <f t="shared" si="18"/>
        <v>469266470.40000004</v>
      </c>
      <c r="N68" s="1">
        <f t="shared" si="19"/>
        <v>234633235.20000002</v>
      </c>
    </row>
    <row r="69" spans="1:14" x14ac:dyDescent="0.35">
      <c r="A69" t="s">
        <v>83</v>
      </c>
      <c r="B69" t="s">
        <v>2</v>
      </c>
      <c r="C69" t="s">
        <v>1</v>
      </c>
      <c r="D69" s="1">
        <v>4327464.96</v>
      </c>
      <c r="E69" s="1">
        <f t="shared" si="10"/>
        <v>4760211.4560000002</v>
      </c>
      <c r="F69" s="1">
        <f t="shared" si="11"/>
        <v>5192957.9519999996</v>
      </c>
      <c r="G69" s="1">
        <f t="shared" si="12"/>
        <v>6058450.9439999992</v>
      </c>
      <c r="H69" s="1">
        <f t="shared" si="13"/>
        <v>6923943.9360000007</v>
      </c>
      <c r="I69" s="1">
        <f t="shared" si="14"/>
        <v>7789436.9280000003</v>
      </c>
      <c r="J69" s="1">
        <f t="shared" si="15"/>
        <v>3894718.4640000002</v>
      </c>
      <c r="K69" s="1">
        <f t="shared" si="16"/>
        <v>3461971.9680000003</v>
      </c>
      <c r="L69" s="1">
        <f t="shared" si="17"/>
        <v>2596478.9759999998</v>
      </c>
      <c r="M69" s="1">
        <f t="shared" si="18"/>
        <v>1730985.9840000002</v>
      </c>
      <c r="N69" s="1">
        <f t="shared" si="19"/>
        <v>865492.99200000009</v>
      </c>
    </row>
    <row r="70" spans="1:14" x14ac:dyDescent="0.35">
      <c r="A70" t="s">
        <v>84</v>
      </c>
      <c r="B70" t="s">
        <v>2</v>
      </c>
      <c r="C70" t="s">
        <v>1</v>
      </c>
      <c r="D70" s="1">
        <v>2753063.04</v>
      </c>
      <c r="E70" s="1">
        <f t="shared" si="10"/>
        <v>3028369.3440000005</v>
      </c>
      <c r="F70" s="1">
        <f t="shared" si="11"/>
        <v>3303675.648</v>
      </c>
      <c r="G70" s="1">
        <f t="shared" si="12"/>
        <v>3854288.2559999996</v>
      </c>
      <c r="H70" s="1">
        <f t="shared" si="13"/>
        <v>4404900.8640000001</v>
      </c>
      <c r="I70" s="1">
        <f t="shared" si="14"/>
        <v>4955513.4720000001</v>
      </c>
      <c r="J70" s="1">
        <f t="shared" si="15"/>
        <v>2477756.736</v>
      </c>
      <c r="K70" s="1">
        <f t="shared" si="16"/>
        <v>2202450.432</v>
      </c>
      <c r="L70" s="1">
        <f t="shared" si="17"/>
        <v>1651837.824</v>
      </c>
      <c r="M70" s="1">
        <f t="shared" si="18"/>
        <v>1101225.216</v>
      </c>
      <c r="N70" s="1">
        <f t="shared" si="19"/>
        <v>550612.60800000001</v>
      </c>
    </row>
    <row r="71" spans="1:14" x14ac:dyDescent="0.35">
      <c r="A71" t="s">
        <v>85</v>
      </c>
      <c r="B71" t="s">
        <v>2</v>
      </c>
      <c r="C71" t="s">
        <v>1</v>
      </c>
      <c r="D71" s="1">
        <v>49114316.160000004</v>
      </c>
      <c r="E71" s="1">
        <f t="shared" si="10"/>
        <v>54025747.776000008</v>
      </c>
      <c r="F71" s="1">
        <f t="shared" si="11"/>
        <v>58937179.392000005</v>
      </c>
      <c r="G71" s="1">
        <f t="shared" si="12"/>
        <v>68760042.623999998</v>
      </c>
      <c r="H71" s="1">
        <f t="shared" si="13"/>
        <v>78582905.856000006</v>
      </c>
      <c r="I71" s="1">
        <f t="shared" si="14"/>
        <v>88405769.088000014</v>
      </c>
      <c r="J71" s="1">
        <f t="shared" si="15"/>
        <v>44202884.544000007</v>
      </c>
      <c r="K71" s="1">
        <f t="shared" si="16"/>
        <v>39291452.928000003</v>
      </c>
      <c r="L71" s="1">
        <f t="shared" si="17"/>
        <v>29468589.696000002</v>
      </c>
      <c r="M71" s="1">
        <f t="shared" si="18"/>
        <v>19645726.464000002</v>
      </c>
      <c r="N71" s="1">
        <f t="shared" si="19"/>
        <v>9822863.2320000008</v>
      </c>
    </row>
    <row r="72" spans="1:14" x14ac:dyDescent="0.35">
      <c r="A72" t="s">
        <v>86</v>
      </c>
      <c r="B72" t="s">
        <v>2</v>
      </c>
      <c r="C72" t="s">
        <v>1</v>
      </c>
      <c r="D72" s="1">
        <v>56969465.279999994</v>
      </c>
      <c r="E72" s="1">
        <f t="shared" si="10"/>
        <v>62666411.807999998</v>
      </c>
      <c r="F72" s="1">
        <f t="shared" si="11"/>
        <v>68363358.335999995</v>
      </c>
      <c r="G72" s="1">
        <f t="shared" si="12"/>
        <v>79757251.39199999</v>
      </c>
      <c r="H72" s="1">
        <f t="shared" si="13"/>
        <v>91151144.447999999</v>
      </c>
      <c r="I72" s="1">
        <f t="shared" si="14"/>
        <v>102545037.50399999</v>
      </c>
      <c r="J72" s="1">
        <f t="shared" si="15"/>
        <v>51272518.751999997</v>
      </c>
      <c r="K72" s="1">
        <f t="shared" si="16"/>
        <v>45575572.223999999</v>
      </c>
      <c r="L72" s="1">
        <f t="shared" si="17"/>
        <v>34181679.167999998</v>
      </c>
      <c r="M72" s="1">
        <f t="shared" si="18"/>
        <v>22787786.112</v>
      </c>
      <c r="N72" s="1">
        <f t="shared" si="19"/>
        <v>11393893.056</v>
      </c>
    </row>
    <row r="73" spans="1:14" x14ac:dyDescent="0.35">
      <c r="A73" t="s">
        <v>87</v>
      </c>
      <c r="B73" t="s">
        <v>2</v>
      </c>
      <c r="C73" t="s">
        <v>1</v>
      </c>
      <c r="D73" s="1">
        <v>5319525.1199999992</v>
      </c>
      <c r="E73" s="1">
        <f t="shared" si="10"/>
        <v>5851477.6319999993</v>
      </c>
      <c r="F73" s="1">
        <f t="shared" si="11"/>
        <v>6383430.1439999985</v>
      </c>
      <c r="G73" s="1">
        <f t="shared" si="12"/>
        <v>7447335.1679999987</v>
      </c>
      <c r="H73" s="1">
        <f t="shared" si="13"/>
        <v>8511240.1919999998</v>
      </c>
      <c r="I73" s="1">
        <f t="shared" si="14"/>
        <v>9575145.2159999982</v>
      </c>
      <c r="J73" s="1">
        <f t="shared" si="15"/>
        <v>4787572.6079999991</v>
      </c>
      <c r="K73" s="1">
        <f t="shared" si="16"/>
        <v>4255620.0959999999</v>
      </c>
      <c r="L73" s="1">
        <f t="shared" si="17"/>
        <v>3191715.0719999992</v>
      </c>
      <c r="M73" s="1">
        <f t="shared" si="18"/>
        <v>2127810.048</v>
      </c>
      <c r="N73" s="1">
        <f t="shared" si="19"/>
        <v>1063905.024</v>
      </c>
    </row>
    <row r="74" spans="1:14" x14ac:dyDescent="0.35">
      <c r="A74" t="s">
        <v>88</v>
      </c>
      <c r="B74" t="s">
        <v>2</v>
      </c>
      <c r="C74" t="s">
        <v>1</v>
      </c>
      <c r="D74" s="1">
        <v>1916940.48</v>
      </c>
      <c r="E74" s="1">
        <f t="shared" si="10"/>
        <v>2108634.5279999999</v>
      </c>
      <c r="F74" s="1">
        <f t="shared" si="11"/>
        <v>2300328.5759999999</v>
      </c>
      <c r="G74" s="1">
        <f t="shared" si="12"/>
        <v>2683716.6719999998</v>
      </c>
      <c r="H74" s="1">
        <f t="shared" si="13"/>
        <v>3067104.7680000002</v>
      </c>
      <c r="I74" s="1">
        <f t="shared" si="14"/>
        <v>3450492.8640000001</v>
      </c>
      <c r="J74" s="1">
        <f t="shared" si="15"/>
        <v>1725246.432</v>
      </c>
      <c r="K74" s="1">
        <f t="shared" si="16"/>
        <v>1533552.3840000001</v>
      </c>
      <c r="L74" s="1">
        <f t="shared" si="17"/>
        <v>1150164.2879999999</v>
      </c>
      <c r="M74" s="1">
        <f t="shared" si="18"/>
        <v>766776.19200000004</v>
      </c>
      <c r="N74" s="1">
        <f t="shared" si="19"/>
        <v>383388.09600000002</v>
      </c>
    </row>
    <row r="75" spans="1:14" x14ac:dyDescent="0.35">
      <c r="A75" t="s">
        <v>89</v>
      </c>
      <c r="B75" t="s">
        <v>2</v>
      </c>
      <c r="C75" t="s">
        <v>1</v>
      </c>
      <c r="D75" s="1">
        <v>316854.72000000003</v>
      </c>
      <c r="E75" s="1">
        <f t="shared" si="10"/>
        <v>348540.19200000004</v>
      </c>
      <c r="F75" s="1">
        <f t="shared" si="11"/>
        <v>380225.66400000005</v>
      </c>
      <c r="G75" s="1">
        <f t="shared" si="12"/>
        <v>443596.60800000001</v>
      </c>
      <c r="H75" s="1">
        <f t="shared" si="13"/>
        <v>506967.55200000008</v>
      </c>
      <c r="I75" s="1">
        <f t="shared" si="14"/>
        <v>570338.49600000004</v>
      </c>
      <c r="J75" s="1">
        <f t="shared" si="15"/>
        <v>285169.24800000002</v>
      </c>
      <c r="K75" s="1">
        <f t="shared" si="16"/>
        <v>253483.77600000004</v>
      </c>
      <c r="L75" s="1">
        <f t="shared" si="17"/>
        <v>190112.83200000002</v>
      </c>
      <c r="M75" s="1">
        <f t="shared" si="18"/>
        <v>126741.88800000002</v>
      </c>
      <c r="N75" s="1">
        <f t="shared" si="19"/>
        <v>63370.94400000001</v>
      </c>
    </row>
    <row r="76" spans="1:14" x14ac:dyDescent="0.35">
      <c r="A76" t="s">
        <v>90</v>
      </c>
      <c r="B76" t="s">
        <v>2</v>
      </c>
      <c r="C76" t="s">
        <v>1</v>
      </c>
      <c r="D76" s="1">
        <v>1535919840</v>
      </c>
      <c r="E76" s="1">
        <f t="shared" si="10"/>
        <v>1689511824.0000002</v>
      </c>
      <c r="F76" s="1">
        <f t="shared" si="11"/>
        <v>1843103808</v>
      </c>
      <c r="G76" s="1">
        <f t="shared" si="12"/>
        <v>2150287776</v>
      </c>
      <c r="H76" s="1">
        <f t="shared" si="13"/>
        <v>2457471744</v>
      </c>
      <c r="I76" s="1">
        <f t="shared" si="14"/>
        <v>2764655712</v>
      </c>
      <c r="J76" s="1">
        <f t="shared" si="15"/>
        <v>1382327856</v>
      </c>
      <c r="K76" s="1">
        <f t="shared" si="16"/>
        <v>1228735872</v>
      </c>
      <c r="L76" s="1">
        <f t="shared" si="17"/>
        <v>921551904</v>
      </c>
      <c r="M76" s="1">
        <f t="shared" si="18"/>
        <v>614367936</v>
      </c>
      <c r="N76" s="1">
        <f t="shared" si="19"/>
        <v>307183968</v>
      </c>
    </row>
    <row r="77" spans="1:14" x14ac:dyDescent="0.35">
      <c r="A77" t="s">
        <v>91</v>
      </c>
      <c r="B77" t="s">
        <v>2</v>
      </c>
      <c r="C77" t="s">
        <v>1</v>
      </c>
      <c r="D77" s="1">
        <v>162327110.40000001</v>
      </c>
      <c r="E77" s="1">
        <f t="shared" si="10"/>
        <v>178559821.44000003</v>
      </c>
      <c r="F77" s="1">
        <f t="shared" si="11"/>
        <v>194792532.47999999</v>
      </c>
      <c r="G77" s="1">
        <f t="shared" si="12"/>
        <v>227257954.56</v>
      </c>
      <c r="H77" s="1">
        <f t="shared" si="13"/>
        <v>259723376.64000002</v>
      </c>
      <c r="I77" s="1">
        <f t="shared" si="14"/>
        <v>292188798.72000003</v>
      </c>
      <c r="J77" s="1">
        <f t="shared" si="15"/>
        <v>146094399.36000001</v>
      </c>
      <c r="K77" s="1">
        <f t="shared" si="16"/>
        <v>129861688.32000001</v>
      </c>
      <c r="L77" s="1">
        <f t="shared" si="17"/>
        <v>97396266.239999995</v>
      </c>
      <c r="M77" s="1">
        <f t="shared" si="18"/>
        <v>64930844.160000004</v>
      </c>
      <c r="N77" s="1">
        <f t="shared" si="19"/>
        <v>32465422.080000002</v>
      </c>
    </row>
    <row r="78" spans="1:14" x14ac:dyDescent="0.35">
      <c r="A78" t="s">
        <v>92</v>
      </c>
      <c r="B78" t="s">
        <v>2</v>
      </c>
      <c r="C78" t="s">
        <v>1</v>
      </c>
      <c r="D78" s="1">
        <v>674397360</v>
      </c>
      <c r="E78" s="1">
        <f t="shared" si="10"/>
        <v>741837096.00000012</v>
      </c>
      <c r="F78" s="1">
        <f t="shared" si="11"/>
        <v>809276832</v>
      </c>
      <c r="G78" s="1">
        <f t="shared" si="12"/>
        <v>944156303.99999988</v>
      </c>
      <c r="H78" s="1">
        <f t="shared" si="13"/>
        <v>1079035776</v>
      </c>
      <c r="I78" s="1">
        <f t="shared" si="14"/>
        <v>1213915248</v>
      </c>
      <c r="J78" s="1">
        <f t="shared" si="15"/>
        <v>606957624</v>
      </c>
      <c r="K78" s="1">
        <f t="shared" si="16"/>
        <v>539517888</v>
      </c>
      <c r="L78" s="1">
        <f t="shared" si="17"/>
        <v>404638416</v>
      </c>
      <c r="M78" s="1">
        <f t="shared" si="18"/>
        <v>269758944</v>
      </c>
      <c r="N78" s="1">
        <f t="shared" si="19"/>
        <v>134879472</v>
      </c>
    </row>
    <row r="79" spans="1:14" x14ac:dyDescent="0.35">
      <c r="A79" t="s">
        <v>93</v>
      </c>
      <c r="B79" t="s">
        <v>2</v>
      </c>
      <c r="C79" t="s">
        <v>1</v>
      </c>
      <c r="D79" s="1">
        <v>31689315.84</v>
      </c>
      <c r="E79" s="1">
        <f t="shared" si="10"/>
        <v>34858247.424000002</v>
      </c>
      <c r="F79" s="1">
        <f t="shared" si="11"/>
        <v>38027179.008000001</v>
      </c>
      <c r="G79" s="1">
        <f t="shared" si="12"/>
        <v>44365042.175999999</v>
      </c>
      <c r="H79" s="1">
        <f t="shared" si="13"/>
        <v>50702905.344000004</v>
      </c>
      <c r="I79" s="1">
        <f t="shared" si="14"/>
        <v>57040768.512000002</v>
      </c>
      <c r="J79" s="1">
        <f t="shared" si="15"/>
        <v>28520384.256000001</v>
      </c>
      <c r="K79" s="1">
        <f t="shared" si="16"/>
        <v>25351452.672000002</v>
      </c>
      <c r="L79" s="1">
        <f t="shared" si="17"/>
        <v>19013589.504000001</v>
      </c>
      <c r="M79" s="1">
        <f t="shared" si="18"/>
        <v>12675726.336000001</v>
      </c>
      <c r="N79" s="1">
        <f t="shared" si="19"/>
        <v>6337863.1680000005</v>
      </c>
    </row>
    <row r="80" spans="1:14" x14ac:dyDescent="0.35">
      <c r="A80" t="s">
        <v>94</v>
      </c>
      <c r="B80" t="s">
        <v>2</v>
      </c>
      <c r="C80" t="s">
        <v>1</v>
      </c>
      <c r="D80" s="1">
        <v>28451492.16</v>
      </c>
      <c r="E80" s="1">
        <f t="shared" si="10"/>
        <v>31296641.376000002</v>
      </c>
      <c r="F80" s="1">
        <f t="shared" si="11"/>
        <v>34141790.592</v>
      </c>
      <c r="G80" s="1">
        <f t="shared" si="12"/>
        <v>39832089.023999996</v>
      </c>
      <c r="H80" s="1">
        <f t="shared" si="13"/>
        <v>45522387.456</v>
      </c>
      <c r="I80" s="1">
        <f t="shared" si="14"/>
        <v>51212685.888000004</v>
      </c>
      <c r="J80" s="1">
        <f t="shared" si="15"/>
        <v>25606342.944000002</v>
      </c>
      <c r="K80" s="1">
        <f t="shared" si="16"/>
        <v>22761193.728</v>
      </c>
      <c r="L80" s="1">
        <f t="shared" si="17"/>
        <v>17070895.296</v>
      </c>
      <c r="M80" s="1">
        <f t="shared" si="18"/>
        <v>11380596.864</v>
      </c>
      <c r="N80" s="1">
        <f t="shared" si="19"/>
        <v>5690298.432</v>
      </c>
    </row>
    <row r="81" spans="1:14" x14ac:dyDescent="0.35">
      <c r="A81" t="s">
        <v>95</v>
      </c>
      <c r="B81" t="s">
        <v>2</v>
      </c>
      <c r="C81" t="s">
        <v>1</v>
      </c>
      <c r="D81" s="1">
        <v>65909975.040000007</v>
      </c>
      <c r="E81" s="1">
        <f t="shared" si="10"/>
        <v>72500972.544000015</v>
      </c>
      <c r="F81" s="1">
        <f t="shared" si="11"/>
        <v>79091970.048000008</v>
      </c>
      <c r="G81" s="1">
        <f t="shared" si="12"/>
        <v>92273965.056000009</v>
      </c>
      <c r="H81" s="1">
        <f t="shared" si="13"/>
        <v>105455960.06400001</v>
      </c>
      <c r="I81" s="1">
        <f t="shared" si="14"/>
        <v>118637955.07200001</v>
      </c>
      <c r="J81" s="1">
        <f t="shared" si="15"/>
        <v>59318977.536000006</v>
      </c>
      <c r="K81" s="1">
        <f t="shared" si="16"/>
        <v>52727980.032000005</v>
      </c>
      <c r="L81" s="1">
        <f t="shared" si="17"/>
        <v>39545985.024000004</v>
      </c>
      <c r="M81" s="1">
        <f t="shared" si="18"/>
        <v>26363990.016000003</v>
      </c>
      <c r="N81" s="1">
        <f t="shared" si="19"/>
        <v>13181995.008000001</v>
      </c>
    </row>
    <row r="82" spans="1:14" x14ac:dyDescent="0.35">
      <c r="A82" t="s">
        <v>96</v>
      </c>
      <c r="B82" t="s">
        <v>2</v>
      </c>
      <c r="C82" t="s">
        <v>1</v>
      </c>
      <c r="D82" s="1">
        <v>6191989.4399999995</v>
      </c>
      <c r="E82" s="1">
        <f t="shared" si="10"/>
        <v>6811188.3839999996</v>
      </c>
      <c r="F82" s="1">
        <f t="shared" si="11"/>
        <v>7430387.3279999988</v>
      </c>
      <c r="G82" s="1">
        <f t="shared" si="12"/>
        <v>8668785.2159999982</v>
      </c>
      <c r="H82" s="1">
        <f t="shared" si="13"/>
        <v>9907183.1040000003</v>
      </c>
      <c r="I82" s="1">
        <f t="shared" si="14"/>
        <v>11145580.991999999</v>
      </c>
      <c r="J82" s="1">
        <f t="shared" si="15"/>
        <v>5572790.4959999993</v>
      </c>
      <c r="K82" s="1">
        <f t="shared" si="16"/>
        <v>4953591.5520000001</v>
      </c>
      <c r="L82" s="1">
        <f t="shared" si="17"/>
        <v>3715193.6639999994</v>
      </c>
      <c r="M82" s="1">
        <f t="shared" si="18"/>
        <v>2476795.7760000001</v>
      </c>
      <c r="N82" s="1">
        <f t="shared" si="19"/>
        <v>1238397.888</v>
      </c>
    </row>
    <row r="83" spans="1:14" x14ac:dyDescent="0.35">
      <c r="A83" t="s">
        <v>97</v>
      </c>
      <c r="B83" t="s">
        <v>2</v>
      </c>
      <c r="C83" t="s">
        <v>1</v>
      </c>
      <c r="D83" s="1">
        <v>203330400</v>
      </c>
      <c r="E83" s="1">
        <f t="shared" si="10"/>
        <v>223663440.00000003</v>
      </c>
      <c r="F83" s="1">
        <f t="shared" si="11"/>
        <v>243996480</v>
      </c>
      <c r="G83" s="1">
        <f t="shared" si="12"/>
        <v>284662560</v>
      </c>
      <c r="H83" s="1">
        <f t="shared" si="13"/>
        <v>325328640</v>
      </c>
      <c r="I83" s="1">
        <f t="shared" si="14"/>
        <v>365994720</v>
      </c>
      <c r="J83" s="1">
        <f t="shared" si="15"/>
        <v>182997360</v>
      </c>
      <c r="K83" s="1">
        <f t="shared" si="16"/>
        <v>162664320</v>
      </c>
      <c r="L83" s="1">
        <f t="shared" si="17"/>
        <v>121998240</v>
      </c>
      <c r="M83" s="1">
        <f t="shared" si="18"/>
        <v>81332160</v>
      </c>
      <c r="N83" s="1">
        <f t="shared" si="19"/>
        <v>40666080</v>
      </c>
    </row>
    <row r="84" spans="1:14" x14ac:dyDescent="0.35">
      <c r="A84" t="s">
        <v>98</v>
      </c>
      <c r="B84" t="s">
        <v>2</v>
      </c>
      <c r="C84" t="s">
        <v>1</v>
      </c>
      <c r="D84" s="1">
        <v>26114612.16</v>
      </c>
      <c r="E84" s="1">
        <f t="shared" si="10"/>
        <v>28726073.376000002</v>
      </c>
      <c r="F84" s="1">
        <f t="shared" si="11"/>
        <v>31337534.592</v>
      </c>
      <c r="G84" s="1">
        <f t="shared" si="12"/>
        <v>36560457.023999996</v>
      </c>
      <c r="H84" s="1">
        <f t="shared" si="13"/>
        <v>41783379.456</v>
      </c>
      <c r="I84" s="1">
        <f t="shared" si="14"/>
        <v>47006301.888000004</v>
      </c>
      <c r="J84" s="1">
        <f t="shared" si="15"/>
        <v>23503150.944000002</v>
      </c>
      <c r="K84" s="1">
        <f t="shared" si="16"/>
        <v>20891689.728</v>
      </c>
      <c r="L84" s="1">
        <f t="shared" si="17"/>
        <v>15668767.296</v>
      </c>
      <c r="M84" s="1">
        <f t="shared" si="18"/>
        <v>10445844.864</v>
      </c>
      <c r="N84" s="1">
        <f t="shared" si="19"/>
        <v>5222922.432</v>
      </c>
    </row>
    <row r="85" spans="1:14" x14ac:dyDescent="0.35">
      <c r="A85" t="s">
        <v>99</v>
      </c>
      <c r="B85" t="s">
        <v>2</v>
      </c>
      <c r="C85" t="s">
        <v>1</v>
      </c>
      <c r="D85" s="1">
        <v>1169226.24</v>
      </c>
      <c r="E85" s="1">
        <f t="shared" si="10"/>
        <v>1286148.8640000001</v>
      </c>
      <c r="F85" s="1">
        <f t="shared" si="11"/>
        <v>1403071.4879999999</v>
      </c>
      <c r="G85" s="1">
        <f t="shared" si="12"/>
        <v>1636916.7359999998</v>
      </c>
      <c r="H85" s="1">
        <f t="shared" si="13"/>
        <v>1870761.9840000002</v>
      </c>
      <c r="I85" s="1">
        <f t="shared" si="14"/>
        <v>2104607.2319999998</v>
      </c>
      <c r="J85" s="1">
        <f t="shared" si="15"/>
        <v>1052303.6159999999</v>
      </c>
      <c r="K85" s="1">
        <f t="shared" si="16"/>
        <v>935380.99200000009</v>
      </c>
      <c r="L85" s="1">
        <f t="shared" si="17"/>
        <v>701535.74399999995</v>
      </c>
      <c r="M85" s="1">
        <f t="shared" si="18"/>
        <v>467690.49600000004</v>
      </c>
      <c r="N85" s="1">
        <f t="shared" si="19"/>
        <v>233845.24800000002</v>
      </c>
    </row>
    <row r="86" spans="1:14" x14ac:dyDescent="0.35">
      <c r="A86" t="s">
        <v>100</v>
      </c>
      <c r="B86" t="s">
        <v>2</v>
      </c>
      <c r="C86" t="s">
        <v>1</v>
      </c>
      <c r="D86" s="1">
        <v>3689824.32</v>
      </c>
      <c r="E86" s="1">
        <f t="shared" si="10"/>
        <v>4058806.7520000003</v>
      </c>
      <c r="F86" s="1">
        <f t="shared" si="11"/>
        <v>4427789.1839999994</v>
      </c>
      <c r="G86" s="1">
        <f t="shared" si="12"/>
        <v>5165754.0479999995</v>
      </c>
      <c r="H86" s="1">
        <f t="shared" si="13"/>
        <v>5903718.9120000005</v>
      </c>
      <c r="I86" s="1">
        <f t="shared" si="14"/>
        <v>6641683.7759999996</v>
      </c>
      <c r="J86" s="1">
        <f t="shared" si="15"/>
        <v>3320841.8879999998</v>
      </c>
      <c r="K86" s="1">
        <f t="shared" si="16"/>
        <v>2951859.4560000002</v>
      </c>
      <c r="L86" s="1">
        <f t="shared" si="17"/>
        <v>2213894.5919999997</v>
      </c>
      <c r="M86" s="1">
        <f t="shared" si="18"/>
        <v>1475929.7280000001</v>
      </c>
      <c r="N86" s="1">
        <f t="shared" si="19"/>
        <v>737964.86400000006</v>
      </c>
    </row>
    <row r="87" spans="1:14" x14ac:dyDescent="0.35">
      <c r="A87" t="s">
        <v>101</v>
      </c>
      <c r="B87" t="s">
        <v>2</v>
      </c>
      <c r="C87" t="s">
        <v>1</v>
      </c>
      <c r="D87" s="1">
        <v>246145536</v>
      </c>
      <c r="E87" s="1">
        <f t="shared" si="10"/>
        <v>270760089.60000002</v>
      </c>
      <c r="F87" s="1">
        <f t="shared" si="11"/>
        <v>295374643.19999999</v>
      </c>
      <c r="G87" s="1">
        <f t="shared" si="12"/>
        <v>344603750.39999998</v>
      </c>
      <c r="H87" s="1">
        <f t="shared" si="13"/>
        <v>393832857.60000002</v>
      </c>
      <c r="I87" s="1">
        <f t="shared" si="14"/>
        <v>443061964.80000001</v>
      </c>
      <c r="J87" s="1">
        <f t="shared" si="15"/>
        <v>221530982.40000001</v>
      </c>
      <c r="K87" s="1">
        <f t="shared" si="16"/>
        <v>196916428.80000001</v>
      </c>
      <c r="L87" s="1">
        <f t="shared" si="17"/>
        <v>147687321.59999999</v>
      </c>
      <c r="M87" s="1">
        <f t="shared" si="18"/>
        <v>98458214.400000006</v>
      </c>
      <c r="N87" s="1">
        <f t="shared" si="19"/>
        <v>49229107.200000003</v>
      </c>
    </row>
    <row r="88" spans="1:14" x14ac:dyDescent="0.35">
      <c r="A88" t="s">
        <v>102</v>
      </c>
      <c r="B88" t="s">
        <v>2</v>
      </c>
      <c r="C88" t="s">
        <v>1</v>
      </c>
      <c r="D88" s="1">
        <v>14501585.279999999</v>
      </c>
      <c r="E88" s="1">
        <f t="shared" si="10"/>
        <v>15951743.808</v>
      </c>
      <c r="F88" s="1">
        <f t="shared" si="11"/>
        <v>17401902.335999999</v>
      </c>
      <c r="G88" s="1">
        <f t="shared" si="12"/>
        <v>20302219.391999997</v>
      </c>
      <c r="H88" s="1">
        <f t="shared" si="13"/>
        <v>23202536.447999999</v>
      </c>
      <c r="I88" s="1">
        <f t="shared" si="14"/>
        <v>26102853.504000001</v>
      </c>
      <c r="J88" s="1">
        <f t="shared" si="15"/>
        <v>13051426.752</v>
      </c>
      <c r="K88" s="1">
        <f t="shared" si="16"/>
        <v>11601268.223999999</v>
      </c>
      <c r="L88" s="1">
        <f t="shared" si="17"/>
        <v>8700951.1679999996</v>
      </c>
      <c r="M88" s="1">
        <f t="shared" si="18"/>
        <v>5800634.1119999997</v>
      </c>
      <c r="N88" s="1">
        <f t="shared" si="19"/>
        <v>2900317.0559999999</v>
      </c>
    </row>
    <row r="89" spans="1:14" x14ac:dyDescent="0.35">
      <c r="A89" t="s">
        <v>103</v>
      </c>
      <c r="B89" t="s">
        <v>2</v>
      </c>
      <c r="C89" t="s">
        <v>1</v>
      </c>
      <c r="D89" s="1">
        <v>2576683.1999999997</v>
      </c>
      <c r="E89" s="1">
        <f t="shared" si="10"/>
        <v>2834351.52</v>
      </c>
      <c r="F89" s="1">
        <f t="shared" si="11"/>
        <v>3092019.8399999994</v>
      </c>
      <c r="G89" s="1">
        <f t="shared" si="12"/>
        <v>3607356.4799999995</v>
      </c>
      <c r="H89" s="1">
        <f t="shared" si="13"/>
        <v>4122693.1199999996</v>
      </c>
      <c r="I89" s="1">
        <f t="shared" si="14"/>
        <v>4638029.76</v>
      </c>
      <c r="J89" s="1">
        <f t="shared" si="15"/>
        <v>2319014.88</v>
      </c>
      <c r="K89" s="1">
        <f t="shared" si="16"/>
        <v>2061346.5599999998</v>
      </c>
      <c r="L89" s="1">
        <f t="shared" si="17"/>
        <v>1546009.9199999997</v>
      </c>
      <c r="M89" s="1">
        <f t="shared" si="18"/>
        <v>1030673.2799999999</v>
      </c>
      <c r="N89" s="1">
        <f t="shared" si="19"/>
        <v>515336.63999999996</v>
      </c>
    </row>
    <row r="90" spans="1:14" x14ac:dyDescent="0.35">
      <c r="A90" t="s">
        <v>104</v>
      </c>
      <c r="B90" t="s">
        <v>2</v>
      </c>
      <c r="C90" t="s">
        <v>1</v>
      </c>
      <c r="D90" s="1">
        <v>2473947.84</v>
      </c>
      <c r="E90" s="1">
        <f t="shared" si="10"/>
        <v>2721342.6239999998</v>
      </c>
      <c r="F90" s="1">
        <f t="shared" si="11"/>
        <v>2968737.4079999998</v>
      </c>
      <c r="G90" s="1">
        <f t="shared" si="12"/>
        <v>3463526.9759999998</v>
      </c>
      <c r="H90" s="1">
        <f t="shared" si="13"/>
        <v>3958316.5439999998</v>
      </c>
      <c r="I90" s="1">
        <f t="shared" si="14"/>
        <v>4453106.1119999997</v>
      </c>
      <c r="J90" s="1">
        <f t="shared" si="15"/>
        <v>2226553.0559999999</v>
      </c>
      <c r="K90" s="1">
        <f t="shared" si="16"/>
        <v>1979158.2719999999</v>
      </c>
      <c r="L90" s="1">
        <f t="shared" si="17"/>
        <v>1484368.7039999999</v>
      </c>
      <c r="M90" s="1">
        <f t="shared" si="18"/>
        <v>989579.13599999994</v>
      </c>
      <c r="N90" s="1">
        <f t="shared" si="19"/>
        <v>494789.56799999997</v>
      </c>
    </row>
    <row r="91" spans="1:14" x14ac:dyDescent="0.35">
      <c r="A91" t="s">
        <v>105</v>
      </c>
      <c r="B91" t="s">
        <v>2</v>
      </c>
      <c r="C91" t="s">
        <v>1</v>
      </c>
      <c r="D91" s="1">
        <v>11567162.879999999</v>
      </c>
      <c r="E91" s="1">
        <f t="shared" si="10"/>
        <v>12723879.168</v>
      </c>
      <c r="F91" s="1">
        <f t="shared" si="11"/>
        <v>13880595.455999998</v>
      </c>
      <c r="G91" s="1">
        <f t="shared" si="12"/>
        <v>16194028.031999998</v>
      </c>
      <c r="H91" s="1">
        <f t="shared" si="13"/>
        <v>18507460.607999999</v>
      </c>
      <c r="I91" s="1">
        <f t="shared" si="14"/>
        <v>20820893.184</v>
      </c>
      <c r="J91" s="1">
        <f t="shared" si="15"/>
        <v>10410446.592</v>
      </c>
      <c r="K91" s="1">
        <f t="shared" si="16"/>
        <v>9253730.3039999995</v>
      </c>
      <c r="L91" s="1">
        <f t="shared" si="17"/>
        <v>6940297.7279999992</v>
      </c>
      <c r="M91" s="1">
        <f t="shared" si="18"/>
        <v>4626865.1519999998</v>
      </c>
      <c r="N91" s="1">
        <f t="shared" si="19"/>
        <v>2313432.5759999999</v>
      </c>
    </row>
    <row r="92" spans="1:14" x14ac:dyDescent="0.35">
      <c r="A92" t="s">
        <v>106</v>
      </c>
      <c r="B92" t="s">
        <v>2</v>
      </c>
      <c r="C92" t="s">
        <v>1</v>
      </c>
      <c r="D92" s="1">
        <v>8905128.9600000009</v>
      </c>
      <c r="E92" s="1">
        <f t="shared" si="10"/>
        <v>9795641.8560000025</v>
      </c>
      <c r="F92" s="1">
        <f t="shared" si="11"/>
        <v>10686154.752</v>
      </c>
      <c r="G92" s="1">
        <f t="shared" si="12"/>
        <v>12467180.544</v>
      </c>
      <c r="H92" s="1">
        <f t="shared" si="13"/>
        <v>14248206.336000003</v>
      </c>
      <c r="I92" s="1">
        <f t="shared" si="14"/>
        <v>16029232.128000002</v>
      </c>
      <c r="J92" s="1">
        <f t="shared" si="15"/>
        <v>8014616.0640000012</v>
      </c>
      <c r="K92" s="1">
        <f t="shared" si="16"/>
        <v>7124103.1680000015</v>
      </c>
      <c r="L92" s="1">
        <f t="shared" si="17"/>
        <v>5343077.3760000002</v>
      </c>
      <c r="M92" s="1">
        <f t="shared" si="18"/>
        <v>3562051.5840000007</v>
      </c>
      <c r="N92" s="1">
        <f t="shared" si="19"/>
        <v>1781025.7920000004</v>
      </c>
    </row>
    <row r="93" spans="1:14" x14ac:dyDescent="0.35">
      <c r="A93" t="s">
        <v>107</v>
      </c>
      <c r="B93" t="s">
        <v>2</v>
      </c>
      <c r="C93" t="s">
        <v>1</v>
      </c>
      <c r="D93" s="1">
        <v>2066326.08</v>
      </c>
      <c r="E93" s="1">
        <f t="shared" si="10"/>
        <v>2272958.6880000001</v>
      </c>
      <c r="F93" s="1">
        <f t="shared" si="11"/>
        <v>2479591.2960000001</v>
      </c>
      <c r="G93" s="1">
        <f t="shared" si="12"/>
        <v>2892856.5120000001</v>
      </c>
      <c r="H93" s="1">
        <f t="shared" si="13"/>
        <v>3306121.7280000001</v>
      </c>
      <c r="I93" s="1">
        <f t="shared" si="14"/>
        <v>3719386.9440000001</v>
      </c>
      <c r="J93" s="1">
        <f t="shared" si="15"/>
        <v>1859693.4720000001</v>
      </c>
      <c r="K93" s="1">
        <f t="shared" si="16"/>
        <v>1653060.8640000001</v>
      </c>
      <c r="L93" s="1">
        <f t="shared" si="17"/>
        <v>1239795.648</v>
      </c>
      <c r="M93" s="1">
        <f t="shared" si="18"/>
        <v>826530.43200000003</v>
      </c>
      <c r="N93" s="1">
        <f t="shared" si="19"/>
        <v>413265.21600000001</v>
      </c>
    </row>
    <row r="94" spans="1:14" x14ac:dyDescent="0.35">
      <c r="A94" t="s">
        <v>108</v>
      </c>
      <c r="B94" t="s">
        <v>2</v>
      </c>
      <c r="C94" t="s">
        <v>1</v>
      </c>
      <c r="D94" s="1">
        <v>51007407.359999999</v>
      </c>
      <c r="E94" s="1">
        <f t="shared" si="10"/>
        <v>56108148.096000001</v>
      </c>
      <c r="F94" s="1">
        <f t="shared" si="11"/>
        <v>61208888.831999995</v>
      </c>
      <c r="G94" s="1">
        <f t="shared" si="12"/>
        <v>71410370.30399999</v>
      </c>
      <c r="H94" s="1">
        <f t="shared" si="13"/>
        <v>81611851.776000008</v>
      </c>
      <c r="I94" s="1">
        <f t="shared" si="14"/>
        <v>91813333.247999996</v>
      </c>
      <c r="J94" s="1">
        <f t="shared" si="15"/>
        <v>45906666.623999998</v>
      </c>
      <c r="K94" s="1">
        <f t="shared" si="16"/>
        <v>40805925.888000004</v>
      </c>
      <c r="L94" s="1">
        <f t="shared" si="17"/>
        <v>30604444.415999997</v>
      </c>
      <c r="M94" s="1">
        <f t="shared" si="18"/>
        <v>20402962.944000002</v>
      </c>
      <c r="N94" s="1">
        <f t="shared" si="19"/>
        <v>10201481.472000001</v>
      </c>
    </row>
    <row r="95" spans="1:14" x14ac:dyDescent="0.35">
      <c r="A95" t="s">
        <v>109</v>
      </c>
      <c r="B95" t="s">
        <v>2</v>
      </c>
      <c r="C95" t="s">
        <v>1</v>
      </c>
      <c r="D95" s="1">
        <v>4966416</v>
      </c>
      <c r="E95" s="1">
        <f t="shared" si="10"/>
        <v>5463057.6000000006</v>
      </c>
      <c r="F95" s="1">
        <f t="shared" si="11"/>
        <v>5959699.2000000002</v>
      </c>
      <c r="G95" s="1">
        <f t="shared" si="12"/>
        <v>6952982.3999999994</v>
      </c>
      <c r="H95" s="1">
        <f t="shared" si="13"/>
        <v>7946265.6000000006</v>
      </c>
      <c r="I95" s="1">
        <f t="shared" si="14"/>
        <v>8939548.8000000007</v>
      </c>
      <c r="J95" s="1">
        <f t="shared" si="15"/>
        <v>4469774.4000000004</v>
      </c>
      <c r="K95" s="1">
        <f t="shared" si="16"/>
        <v>3973132.8000000003</v>
      </c>
      <c r="L95" s="1">
        <f t="shared" si="17"/>
        <v>2979849.6</v>
      </c>
      <c r="M95" s="1">
        <f t="shared" si="18"/>
        <v>1986566.4000000001</v>
      </c>
      <c r="N95" s="1">
        <f t="shared" si="19"/>
        <v>993283.20000000007</v>
      </c>
    </row>
    <row r="96" spans="1:14" x14ac:dyDescent="0.35">
      <c r="A96" t="s">
        <v>110</v>
      </c>
      <c r="B96" t="s">
        <v>2</v>
      </c>
      <c r="C96" t="s">
        <v>1</v>
      </c>
      <c r="D96" s="1">
        <v>11751841.92</v>
      </c>
      <c r="E96" s="1">
        <f t="shared" si="10"/>
        <v>12927026.112000002</v>
      </c>
      <c r="F96" s="1">
        <f t="shared" si="11"/>
        <v>14102210.304</v>
      </c>
      <c r="G96" s="1">
        <f t="shared" si="12"/>
        <v>16452578.687999999</v>
      </c>
      <c r="H96" s="1">
        <f t="shared" si="13"/>
        <v>18802947.072000001</v>
      </c>
      <c r="I96" s="1">
        <f t="shared" si="14"/>
        <v>21153315.456</v>
      </c>
      <c r="J96" s="1">
        <f t="shared" si="15"/>
        <v>10576657.728</v>
      </c>
      <c r="K96" s="1">
        <f t="shared" si="16"/>
        <v>9401473.5360000003</v>
      </c>
      <c r="L96" s="1">
        <f t="shared" si="17"/>
        <v>7051105.1519999998</v>
      </c>
      <c r="M96" s="1">
        <f t="shared" si="18"/>
        <v>4700736.7680000002</v>
      </c>
      <c r="N96" s="1">
        <f t="shared" si="19"/>
        <v>2350368.3840000001</v>
      </c>
    </row>
    <row r="97" spans="1:14" x14ac:dyDescent="0.35">
      <c r="A97" t="s">
        <v>111</v>
      </c>
      <c r="B97" t="s">
        <v>2</v>
      </c>
      <c r="C97" t="s">
        <v>1</v>
      </c>
      <c r="D97" s="1">
        <v>47400050.880000003</v>
      </c>
      <c r="E97" s="1">
        <f t="shared" si="10"/>
        <v>52140055.96800001</v>
      </c>
      <c r="F97" s="1">
        <f t="shared" si="11"/>
        <v>56880061.056000002</v>
      </c>
      <c r="G97" s="1">
        <f t="shared" si="12"/>
        <v>66360071.232000001</v>
      </c>
      <c r="H97" s="1">
        <f t="shared" si="13"/>
        <v>75840081.408000007</v>
      </c>
      <c r="I97" s="1">
        <f t="shared" si="14"/>
        <v>85320091.584000006</v>
      </c>
      <c r="J97" s="1">
        <f t="shared" si="15"/>
        <v>42660045.792000003</v>
      </c>
      <c r="K97" s="1">
        <f t="shared" si="16"/>
        <v>37920040.704000004</v>
      </c>
      <c r="L97" s="1">
        <f t="shared" si="17"/>
        <v>28440030.528000001</v>
      </c>
      <c r="M97" s="1">
        <f t="shared" si="18"/>
        <v>18960020.352000002</v>
      </c>
      <c r="N97" s="1">
        <f t="shared" si="19"/>
        <v>9480010.1760000009</v>
      </c>
    </row>
    <row r="98" spans="1:14" x14ac:dyDescent="0.35">
      <c r="A98" t="s">
        <v>112</v>
      </c>
      <c r="B98" t="s">
        <v>2</v>
      </c>
      <c r="C98" t="s">
        <v>1</v>
      </c>
      <c r="D98" s="1">
        <v>53934142.079999998</v>
      </c>
      <c r="E98" s="1">
        <f t="shared" si="10"/>
        <v>59327556.288000003</v>
      </c>
      <c r="F98" s="1">
        <f t="shared" si="11"/>
        <v>64720970.495999992</v>
      </c>
      <c r="G98" s="1">
        <f t="shared" si="12"/>
        <v>75507798.911999986</v>
      </c>
      <c r="H98" s="1">
        <f t="shared" si="13"/>
        <v>86294627.328000009</v>
      </c>
      <c r="I98" s="1">
        <f t="shared" si="14"/>
        <v>97081455.744000003</v>
      </c>
      <c r="J98" s="1">
        <f t="shared" si="15"/>
        <v>48540727.872000001</v>
      </c>
      <c r="K98" s="1">
        <f t="shared" si="16"/>
        <v>43147313.664000005</v>
      </c>
      <c r="L98" s="1">
        <f t="shared" si="17"/>
        <v>32360485.247999996</v>
      </c>
      <c r="M98" s="1">
        <f t="shared" si="18"/>
        <v>21573656.832000002</v>
      </c>
      <c r="N98" s="1">
        <f t="shared" si="19"/>
        <v>10786828.416000001</v>
      </c>
    </row>
    <row r="99" spans="1:14" x14ac:dyDescent="0.35">
      <c r="A99" t="s">
        <v>113</v>
      </c>
      <c r="B99" t="s">
        <v>2</v>
      </c>
      <c r="C99" t="s">
        <v>1</v>
      </c>
      <c r="D99" s="1">
        <v>3298276.8000000003</v>
      </c>
      <c r="E99" s="1">
        <f t="shared" si="10"/>
        <v>3628104.4800000004</v>
      </c>
      <c r="F99" s="1">
        <f t="shared" si="11"/>
        <v>3957932.16</v>
      </c>
      <c r="G99" s="1">
        <f t="shared" si="12"/>
        <v>4617587.5200000005</v>
      </c>
      <c r="H99" s="1">
        <f t="shared" si="13"/>
        <v>5277242.8800000008</v>
      </c>
      <c r="I99" s="1">
        <f t="shared" si="14"/>
        <v>5936898.2400000002</v>
      </c>
      <c r="J99" s="1">
        <f t="shared" si="15"/>
        <v>2968449.12</v>
      </c>
      <c r="K99" s="1">
        <f t="shared" si="16"/>
        <v>2638621.4400000004</v>
      </c>
      <c r="L99" s="1">
        <f t="shared" si="17"/>
        <v>1978966.08</v>
      </c>
      <c r="M99" s="1">
        <f t="shared" si="18"/>
        <v>1319310.7200000002</v>
      </c>
      <c r="N99" s="1">
        <f t="shared" si="19"/>
        <v>659655.3600000001</v>
      </c>
    </row>
    <row r="100" spans="1:14" x14ac:dyDescent="0.35">
      <c r="A100" t="s">
        <v>114</v>
      </c>
      <c r="B100" t="s">
        <v>2</v>
      </c>
      <c r="C100" t="s">
        <v>1</v>
      </c>
      <c r="D100" s="1">
        <v>24575853.120000001</v>
      </c>
      <c r="E100" s="1">
        <f t="shared" si="10"/>
        <v>27033438.432000004</v>
      </c>
      <c r="F100" s="1">
        <f t="shared" si="11"/>
        <v>29491023.743999999</v>
      </c>
      <c r="G100" s="1">
        <f t="shared" si="12"/>
        <v>34406194.368000001</v>
      </c>
      <c r="H100" s="1">
        <f t="shared" si="13"/>
        <v>39321364.992000006</v>
      </c>
      <c r="I100" s="1">
        <f t="shared" si="14"/>
        <v>44236535.616000004</v>
      </c>
      <c r="J100" s="1">
        <f t="shared" si="15"/>
        <v>22118267.808000002</v>
      </c>
      <c r="K100" s="1">
        <f t="shared" si="16"/>
        <v>19660682.496000003</v>
      </c>
      <c r="L100" s="1">
        <f t="shared" si="17"/>
        <v>14745511.872</v>
      </c>
      <c r="M100" s="1">
        <f t="shared" si="18"/>
        <v>9830341.2480000015</v>
      </c>
      <c r="N100" s="1">
        <f t="shared" si="19"/>
        <v>4915170.6240000008</v>
      </c>
    </row>
    <row r="101" spans="1:14" x14ac:dyDescent="0.35">
      <c r="A101" t="s">
        <v>115</v>
      </c>
      <c r="B101" t="s">
        <v>2</v>
      </c>
      <c r="C101" t="s">
        <v>1</v>
      </c>
      <c r="D101" s="1">
        <v>201944870.40000001</v>
      </c>
      <c r="E101" s="1">
        <f t="shared" si="10"/>
        <v>222139357.44000003</v>
      </c>
      <c r="F101" s="1">
        <f t="shared" si="11"/>
        <v>242333844.47999999</v>
      </c>
      <c r="G101" s="1">
        <f t="shared" si="12"/>
        <v>282722818.56</v>
      </c>
      <c r="H101" s="1">
        <f t="shared" si="13"/>
        <v>323111792.64000005</v>
      </c>
      <c r="I101" s="1">
        <f t="shared" si="14"/>
        <v>363500766.72000003</v>
      </c>
      <c r="J101" s="1">
        <f t="shared" si="15"/>
        <v>181750383.36000001</v>
      </c>
      <c r="K101" s="1">
        <f t="shared" si="16"/>
        <v>161555896.32000002</v>
      </c>
      <c r="L101" s="1">
        <f t="shared" si="17"/>
        <v>121166922.23999999</v>
      </c>
      <c r="M101" s="1">
        <f t="shared" si="18"/>
        <v>80777948.160000011</v>
      </c>
      <c r="N101" s="1">
        <f t="shared" si="19"/>
        <v>40388974.080000006</v>
      </c>
    </row>
    <row r="102" spans="1:14" x14ac:dyDescent="0.35">
      <c r="A102" t="s">
        <v>116</v>
      </c>
      <c r="B102" t="s">
        <v>2</v>
      </c>
      <c r="C102" t="s">
        <v>1</v>
      </c>
      <c r="D102" s="1">
        <v>114077308.8</v>
      </c>
      <c r="E102" s="1">
        <f t="shared" si="10"/>
        <v>125485039.68000001</v>
      </c>
      <c r="F102" s="1">
        <f t="shared" si="11"/>
        <v>136892770.56</v>
      </c>
      <c r="G102" s="1">
        <f t="shared" si="12"/>
        <v>159708232.31999999</v>
      </c>
      <c r="H102" s="1">
        <f t="shared" si="13"/>
        <v>182523694.08000001</v>
      </c>
      <c r="I102" s="1">
        <f t="shared" si="14"/>
        <v>205339155.84</v>
      </c>
      <c r="J102" s="1">
        <f t="shared" si="15"/>
        <v>102669577.92</v>
      </c>
      <c r="K102" s="1">
        <f t="shared" si="16"/>
        <v>91261847.040000007</v>
      </c>
      <c r="L102" s="1">
        <f t="shared" si="17"/>
        <v>68446385.280000001</v>
      </c>
      <c r="M102" s="1">
        <f t="shared" si="18"/>
        <v>45630923.520000003</v>
      </c>
      <c r="N102" s="1">
        <f t="shared" si="19"/>
        <v>22815461.760000002</v>
      </c>
    </row>
    <row r="103" spans="1:14" x14ac:dyDescent="0.35">
      <c r="A103" t="s">
        <v>117</v>
      </c>
      <c r="B103" t="s">
        <v>2</v>
      </c>
      <c r="C103" t="s">
        <v>1</v>
      </c>
      <c r="D103" s="1">
        <v>54331105.920000002</v>
      </c>
      <c r="E103" s="1">
        <f t="shared" si="10"/>
        <v>59764216.512000009</v>
      </c>
      <c r="F103" s="1">
        <f t="shared" si="11"/>
        <v>65197327.104000002</v>
      </c>
      <c r="G103" s="1">
        <f t="shared" si="12"/>
        <v>76063548.288000003</v>
      </c>
      <c r="H103" s="1">
        <f t="shared" si="13"/>
        <v>86929769.472000003</v>
      </c>
      <c r="I103" s="1">
        <f t="shared" si="14"/>
        <v>97795990.656000003</v>
      </c>
      <c r="J103" s="1">
        <f t="shared" si="15"/>
        <v>48897995.328000002</v>
      </c>
      <c r="K103" s="1">
        <f t="shared" si="16"/>
        <v>43464884.736000001</v>
      </c>
      <c r="L103" s="1">
        <f t="shared" si="17"/>
        <v>32598663.552000001</v>
      </c>
      <c r="M103" s="1">
        <f t="shared" si="18"/>
        <v>21732442.368000001</v>
      </c>
      <c r="N103" s="1">
        <f t="shared" si="19"/>
        <v>10866221.184</v>
      </c>
    </row>
    <row r="104" spans="1:14" x14ac:dyDescent="0.35">
      <c r="A104" t="s">
        <v>118</v>
      </c>
      <c r="B104" t="s">
        <v>2</v>
      </c>
      <c r="C104" t="s">
        <v>1</v>
      </c>
      <c r="D104" s="1">
        <v>2134991.04</v>
      </c>
      <c r="E104" s="1">
        <f t="shared" si="10"/>
        <v>2348490.1440000003</v>
      </c>
      <c r="F104" s="1">
        <f t="shared" si="11"/>
        <v>2561989.2480000001</v>
      </c>
      <c r="G104" s="1">
        <f t="shared" si="12"/>
        <v>2988987.4559999998</v>
      </c>
      <c r="H104" s="1">
        <f t="shared" si="13"/>
        <v>3415985.6640000003</v>
      </c>
      <c r="I104" s="1">
        <f t="shared" si="14"/>
        <v>3842983.872</v>
      </c>
      <c r="J104" s="1">
        <f t="shared" si="15"/>
        <v>1921491.936</v>
      </c>
      <c r="K104" s="1">
        <f t="shared" si="16"/>
        <v>1707992.8320000002</v>
      </c>
      <c r="L104" s="1">
        <f t="shared" si="17"/>
        <v>1280994.6240000001</v>
      </c>
      <c r="M104" s="1">
        <f t="shared" si="18"/>
        <v>853996.41600000008</v>
      </c>
      <c r="N104" s="1">
        <f t="shared" si="19"/>
        <v>426998.20800000004</v>
      </c>
    </row>
    <row r="105" spans="1:14" x14ac:dyDescent="0.35">
      <c r="A105" t="s">
        <v>119</v>
      </c>
      <c r="B105" t="s">
        <v>2</v>
      </c>
      <c r="C105" t="s">
        <v>1</v>
      </c>
      <c r="D105" s="1">
        <v>69248000.640000001</v>
      </c>
      <c r="E105" s="1">
        <f t="shared" si="10"/>
        <v>76172800.704000011</v>
      </c>
      <c r="F105" s="1">
        <f t="shared" si="11"/>
        <v>83097600.767999992</v>
      </c>
      <c r="G105" s="1">
        <f t="shared" si="12"/>
        <v>96947200.895999998</v>
      </c>
      <c r="H105" s="1">
        <f t="shared" si="13"/>
        <v>110796801.024</v>
      </c>
      <c r="I105" s="1">
        <f t="shared" si="14"/>
        <v>124646401.15200001</v>
      </c>
      <c r="J105" s="1">
        <f t="shared" si="15"/>
        <v>62323200.576000005</v>
      </c>
      <c r="K105" s="1">
        <f t="shared" si="16"/>
        <v>55398400.512000002</v>
      </c>
      <c r="L105" s="1">
        <f t="shared" si="17"/>
        <v>41548800.383999996</v>
      </c>
      <c r="M105" s="1">
        <f t="shared" si="18"/>
        <v>27699200.256000001</v>
      </c>
      <c r="N105" s="1">
        <f t="shared" si="19"/>
        <v>13849600.128</v>
      </c>
    </row>
    <row r="106" spans="1:14" x14ac:dyDescent="0.35">
      <c r="A106" t="s">
        <v>120</v>
      </c>
      <c r="B106" t="s">
        <v>2</v>
      </c>
      <c r="C106" t="s">
        <v>1</v>
      </c>
      <c r="D106" s="1">
        <v>1197006.7200000002</v>
      </c>
      <c r="E106" s="1">
        <f t="shared" si="10"/>
        <v>1316707.3920000002</v>
      </c>
      <c r="F106" s="1">
        <f t="shared" si="11"/>
        <v>1436408.0640000002</v>
      </c>
      <c r="G106" s="1">
        <f t="shared" si="12"/>
        <v>1675809.4080000003</v>
      </c>
      <c r="H106" s="1">
        <f t="shared" si="13"/>
        <v>1915210.7520000003</v>
      </c>
      <c r="I106" s="1">
        <f t="shared" si="14"/>
        <v>2154612.0960000004</v>
      </c>
      <c r="J106" s="1">
        <f t="shared" si="15"/>
        <v>1077306.0480000002</v>
      </c>
      <c r="K106" s="1">
        <f t="shared" si="16"/>
        <v>957605.37600000016</v>
      </c>
      <c r="L106" s="1">
        <f t="shared" si="17"/>
        <v>718204.03200000012</v>
      </c>
      <c r="M106" s="1">
        <f t="shared" si="18"/>
        <v>478802.68800000008</v>
      </c>
      <c r="N106" s="1">
        <f t="shared" si="19"/>
        <v>239401.34400000004</v>
      </c>
    </row>
    <row r="107" spans="1:14" x14ac:dyDescent="0.35">
      <c r="A107" t="s">
        <v>121</v>
      </c>
      <c r="B107" t="s">
        <v>2</v>
      </c>
      <c r="C107" t="s">
        <v>1</v>
      </c>
      <c r="D107" s="1">
        <v>6190329.6000000006</v>
      </c>
      <c r="E107" s="1">
        <f t="shared" si="10"/>
        <v>6809362.5600000015</v>
      </c>
      <c r="F107" s="1">
        <f t="shared" si="11"/>
        <v>7428395.5200000005</v>
      </c>
      <c r="G107" s="1">
        <f t="shared" si="12"/>
        <v>8666461.4399999995</v>
      </c>
      <c r="H107" s="1">
        <f t="shared" si="13"/>
        <v>9904527.3600000013</v>
      </c>
      <c r="I107" s="1">
        <f t="shared" si="14"/>
        <v>11142593.280000001</v>
      </c>
      <c r="J107" s="1">
        <f t="shared" si="15"/>
        <v>5571296.6400000006</v>
      </c>
      <c r="K107" s="1">
        <f t="shared" si="16"/>
        <v>4952263.6800000006</v>
      </c>
      <c r="L107" s="1">
        <f t="shared" si="17"/>
        <v>3714197.7600000002</v>
      </c>
      <c r="M107" s="1">
        <f t="shared" si="18"/>
        <v>2476131.8400000003</v>
      </c>
      <c r="N107" s="1">
        <f t="shared" si="19"/>
        <v>1238065.9200000002</v>
      </c>
    </row>
    <row r="108" spans="1:14" x14ac:dyDescent="0.35">
      <c r="A108" t="s">
        <v>122</v>
      </c>
      <c r="B108" t="s">
        <v>2</v>
      </c>
      <c r="C108" t="s">
        <v>1</v>
      </c>
      <c r="D108" s="1">
        <v>111577065.60000001</v>
      </c>
      <c r="E108" s="1">
        <f t="shared" si="10"/>
        <v>122734772.16000003</v>
      </c>
      <c r="F108" s="1">
        <f t="shared" si="11"/>
        <v>133892478.72</v>
      </c>
      <c r="G108" s="1">
        <f t="shared" si="12"/>
        <v>156207891.84</v>
      </c>
      <c r="H108" s="1">
        <f t="shared" si="13"/>
        <v>178523304.96000004</v>
      </c>
      <c r="I108" s="1">
        <f t="shared" si="14"/>
        <v>200838718.08000001</v>
      </c>
      <c r="J108" s="1">
        <f t="shared" si="15"/>
        <v>100419359.04000001</v>
      </c>
      <c r="K108" s="1">
        <f t="shared" si="16"/>
        <v>89261652.480000019</v>
      </c>
      <c r="L108" s="1">
        <f t="shared" si="17"/>
        <v>66946239.359999999</v>
      </c>
      <c r="M108" s="1">
        <f t="shared" si="18"/>
        <v>44630826.24000001</v>
      </c>
      <c r="N108" s="1">
        <f t="shared" si="19"/>
        <v>22315413.120000005</v>
      </c>
    </row>
    <row r="109" spans="1:14" x14ac:dyDescent="0.35">
      <c r="A109" t="s">
        <v>123</v>
      </c>
      <c r="B109" t="s">
        <v>2</v>
      </c>
      <c r="C109" t="s">
        <v>1</v>
      </c>
      <c r="D109" s="1">
        <v>10616686.08</v>
      </c>
      <c r="E109" s="1">
        <f t="shared" si="10"/>
        <v>11678354.688000001</v>
      </c>
      <c r="F109" s="1">
        <f t="shared" si="11"/>
        <v>12740023.296</v>
      </c>
      <c r="G109" s="1">
        <f t="shared" si="12"/>
        <v>14863360.511999998</v>
      </c>
      <c r="H109" s="1">
        <f t="shared" si="13"/>
        <v>16986697.728</v>
      </c>
      <c r="I109" s="1">
        <f t="shared" si="14"/>
        <v>19110034.944000002</v>
      </c>
      <c r="J109" s="1">
        <f t="shared" si="15"/>
        <v>9555017.472000001</v>
      </c>
      <c r="K109" s="1">
        <f t="shared" si="16"/>
        <v>8493348.8640000001</v>
      </c>
      <c r="L109" s="1">
        <f t="shared" si="17"/>
        <v>6370011.648</v>
      </c>
      <c r="M109" s="1">
        <f t="shared" si="18"/>
        <v>4246674.432</v>
      </c>
      <c r="N109" s="1">
        <f t="shared" si="19"/>
        <v>2123337.216</v>
      </c>
    </row>
    <row r="110" spans="1:14" x14ac:dyDescent="0.35">
      <c r="A110" t="s">
        <v>124</v>
      </c>
      <c r="B110" t="s">
        <v>2</v>
      </c>
      <c r="C110" t="s">
        <v>1</v>
      </c>
      <c r="D110" s="1">
        <v>9475939.2000000011</v>
      </c>
      <c r="E110" s="1">
        <f t="shared" si="10"/>
        <v>10423533.120000003</v>
      </c>
      <c r="F110" s="1">
        <f t="shared" si="11"/>
        <v>11371127.040000001</v>
      </c>
      <c r="G110" s="1">
        <f t="shared" si="12"/>
        <v>13266314.880000001</v>
      </c>
      <c r="H110" s="1">
        <f t="shared" si="13"/>
        <v>15161502.720000003</v>
      </c>
      <c r="I110" s="1">
        <f t="shared" si="14"/>
        <v>17056690.560000002</v>
      </c>
      <c r="J110" s="1">
        <f t="shared" si="15"/>
        <v>8528345.2800000012</v>
      </c>
      <c r="K110" s="1">
        <f t="shared" si="16"/>
        <v>7580751.3600000013</v>
      </c>
      <c r="L110" s="1">
        <f t="shared" si="17"/>
        <v>5685563.5200000005</v>
      </c>
      <c r="M110" s="1">
        <f t="shared" si="18"/>
        <v>3790375.6800000006</v>
      </c>
      <c r="N110" s="1">
        <f t="shared" si="19"/>
        <v>1895187.8400000003</v>
      </c>
    </row>
    <row r="111" spans="1:14" x14ac:dyDescent="0.35">
      <c r="A111" t="s">
        <v>125</v>
      </c>
      <c r="B111" t="s">
        <v>2</v>
      </c>
      <c r="C111" t="s">
        <v>1</v>
      </c>
      <c r="D111" s="1">
        <v>49630089.600000001</v>
      </c>
      <c r="E111" s="1">
        <f t="shared" si="10"/>
        <v>54593098.560000002</v>
      </c>
      <c r="F111" s="1">
        <f t="shared" si="11"/>
        <v>59556107.520000003</v>
      </c>
      <c r="G111" s="1">
        <f t="shared" si="12"/>
        <v>69482125.439999998</v>
      </c>
      <c r="H111" s="1">
        <f t="shared" si="13"/>
        <v>79408143.359999999</v>
      </c>
      <c r="I111" s="1">
        <f t="shared" si="14"/>
        <v>89334161.280000001</v>
      </c>
      <c r="J111" s="1">
        <f t="shared" si="15"/>
        <v>44667080.640000001</v>
      </c>
      <c r="K111" s="1">
        <f t="shared" si="16"/>
        <v>39704071.68</v>
      </c>
      <c r="L111" s="1">
        <f t="shared" si="17"/>
        <v>29778053.760000002</v>
      </c>
      <c r="M111" s="1">
        <f t="shared" si="18"/>
        <v>19852035.84</v>
      </c>
      <c r="N111" s="1">
        <f t="shared" si="19"/>
        <v>9926017.9199999999</v>
      </c>
    </row>
    <row r="112" spans="1:14" x14ac:dyDescent="0.35">
      <c r="A112" t="s">
        <v>126</v>
      </c>
      <c r="B112" t="s">
        <v>2</v>
      </c>
      <c r="C112" t="s">
        <v>1</v>
      </c>
      <c r="D112" s="1">
        <v>2882443.1999999997</v>
      </c>
      <c r="E112" s="1">
        <f t="shared" si="10"/>
        <v>3170687.52</v>
      </c>
      <c r="F112" s="1">
        <f t="shared" si="11"/>
        <v>3458931.8399999994</v>
      </c>
      <c r="G112" s="1">
        <f t="shared" si="12"/>
        <v>4035420.4799999995</v>
      </c>
      <c r="H112" s="1">
        <f t="shared" si="13"/>
        <v>4611909.12</v>
      </c>
      <c r="I112" s="1">
        <f t="shared" si="14"/>
        <v>5188397.76</v>
      </c>
      <c r="J112" s="1">
        <f t="shared" si="15"/>
        <v>2594198.88</v>
      </c>
      <c r="K112" s="1">
        <f t="shared" si="16"/>
        <v>2305954.56</v>
      </c>
      <c r="L112" s="1">
        <f t="shared" si="17"/>
        <v>1729465.9199999997</v>
      </c>
      <c r="M112" s="1">
        <f t="shared" si="18"/>
        <v>1152977.28</v>
      </c>
      <c r="N112" s="1">
        <f t="shared" si="19"/>
        <v>576488.64</v>
      </c>
    </row>
    <row r="113" spans="1:14" x14ac:dyDescent="0.35">
      <c r="A113" t="s">
        <v>127</v>
      </c>
      <c r="B113" t="s">
        <v>2</v>
      </c>
      <c r="C113" t="s">
        <v>1</v>
      </c>
      <c r="D113" s="1">
        <v>6732398.3999999994</v>
      </c>
      <c r="E113" s="1">
        <f t="shared" si="10"/>
        <v>7405638.2400000002</v>
      </c>
      <c r="F113" s="1">
        <f t="shared" si="11"/>
        <v>8078878.0799999991</v>
      </c>
      <c r="G113" s="1">
        <f t="shared" si="12"/>
        <v>9425357.7599999979</v>
      </c>
      <c r="H113" s="1">
        <f t="shared" si="13"/>
        <v>10771837.439999999</v>
      </c>
      <c r="I113" s="1">
        <f t="shared" si="14"/>
        <v>12118317.119999999</v>
      </c>
      <c r="J113" s="1">
        <f t="shared" si="15"/>
        <v>6059158.5599999996</v>
      </c>
      <c r="K113" s="1">
        <f t="shared" si="16"/>
        <v>5385918.7199999997</v>
      </c>
      <c r="L113" s="1">
        <f t="shared" si="17"/>
        <v>4039439.0399999996</v>
      </c>
      <c r="M113" s="1">
        <f t="shared" si="18"/>
        <v>2692959.36</v>
      </c>
      <c r="N113" s="1">
        <f t="shared" si="19"/>
        <v>1346479.68</v>
      </c>
    </row>
    <row r="114" spans="1:14" x14ac:dyDescent="0.35">
      <c r="A114" t="s">
        <v>128</v>
      </c>
      <c r="B114" t="s">
        <v>2</v>
      </c>
      <c r="C114" t="s">
        <v>1</v>
      </c>
      <c r="D114" s="1">
        <v>269330.88</v>
      </c>
      <c r="E114" s="1">
        <f t="shared" si="10"/>
        <v>296263.96800000005</v>
      </c>
      <c r="F114" s="1">
        <f t="shared" si="11"/>
        <v>323197.05599999998</v>
      </c>
      <c r="G114" s="1">
        <f t="shared" si="12"/>
        <v>377063.23199999996</v>
      </c>
      <c r="H114" s="1">
        <f t="shared" si="13"/>
        <v>430929.40800000005</v>
      </c>
      <c r="I114" s="1">
        <f t="shared" si="14"/>
        <v>484795.58400000003</v>
      </c>
      <c r="J114" s="1">
        <f t="shared" si="15"/>
        <v>242397.79200000002</v>
      </c>
      <c r="K114" s="1">
        <f t="shared" si="16"/>
        <v>215464.70400000003</v>
      </c>
      <c r="L114" s="1">
        <f t="shared" si="17"/>
        <v>161598.52799999999</v>
      </c>
      <c r="M114" s="1">
        <f t="shared" si="18"/>
        <v>107732.35200000001</v>
      </c>
      <c r="N114" s="1">
        <f t="shared" si="19"/>
        <v>53866.176000000007</v>
      </c>
    </row>
    <row r="115" spans="1:14" x14ac:dyDescent="0.35">
      <c r="A115" t="s">
        <v>129</v>
      </c>
      <c r="B115" t="s">
        <v>2</v>
      </c>
      <c r="C115" t="s">
        <v>1</v>
      </c>
      <c r="D115" s="1">
        <v>1650492.48</v>
      </c>
      <c r="E115" s="1">
        <f t="shared" si="10"/>
        <v>1815541.7280000001</v>
      </c>
      <c r="F115" s="1">
        <f t="shared" si="11"/>
        <v>1980590.9759999998</v>
      </c>
      <c r="G115" s="1">
        <f t="shared" si="12"/>
        <v>2310689.4719999996</v>
      </c>
      <c r="H115" s="1">
        <f t="shared" si="13"/>
        <v>2640787.9680000003</v>
      </c>
      <c r="I115" s="1">
        <f t="shared" si="14"/>
        <v>2970886.4640000002</v>
      </c>
      <c r="J115" s="1">
        <f t="shared" si="15"/>
        <v>1485443.2320000001</v>
      </c>
      <c r="K115" s="1">
        <f t="shared" si="16"/>
        <v>1320393.9840000002</v>
      </c>
      <c r="L115" s="1">
        <f t="shared" si="17"/>
        <v>990295.4879999999</v>
      </c>
      <c r="M115" s="1">
        <f t="shared" si="18"/>
        <v>660196.99200000009</v>
      </c>
      <c r="N115" s="1">
        <f t="shared" si="19"/>
        <v>330098.49600000004</v>
      </c>
    </row>
    <row r="116" spans="1:14" x14ac:dyDescent="0.35">
      <c r="A116" t="s">
        <v>130</v>
      </c>
      <c r="B116" t="s">
        <v>2</v>
      </c>
      <c r="C116" t="s">
        <v>1</v>
      </c>
      <c r="D116" s="1">
        <v>1831677.1199999999</v>
      </c>
      <c r="E116" s="1">
        <f t="shared" si="10"/>
        <v>2014844.8319999999</v>
      </c>
      <c r="F116" s="1">
        <f t="shared" si="11"/>
        <v>2198012.5439999998</v>
      </c>
      <c r="G116" s="1">
        <f t="shared" si="12"/>
        <v>2564347.9679999999</v>
      </c>
      <c r="H116" s="1">
        <f t="shared" si="13"/>
        <v>2930683.392</v>
      </c>
      <c r="I116" s="1">
        <f t="shared" si="14"/>
        <v>3297018.8159999996</v>
      </c>
      <c r="J116" s="1">
        <f t="shared" si="15"/>
        <v>1648509.4079999998</v>
      </c>
      <c r="K116" s="1">
        <f t="shared" si="16"/>
        <v>1465341.696</v>
      </c>
      <c r="L116" s="1">
        <f t="shared" si="17"/>
        <v>1099006.2719999999</v>
      </c>
      <c r="M116" s="1">
        <f t="shared" si="18"/>
        <v>732670.848</v>
      </c>
      <c r="N116" s="1">
        <f t="shared" si="19"/>
        <v>366335.424</v>
      </c>
    </row>
    <row r="117" spans="1:14" x14ac:dyDescent="0.35">
      <c r="A117" t="s">
        <v>131</v>
      </c>
      <c r="B117" t="s">
        <v>2</v>
      </c>
      <c r="C117" t="s">
        <v>1</v>
      </c>
      <c r="D117" s="1">
        <v>1634592.9600000002</v>
      </c>
      <c r="E117" s="1">
        <f t="shared" si="10"/>
        <v>1798052.2560000003</v>
      </c>
      <c r="F117" s="1">
        <f t="shared" si="11"/>
        <v>1961511.5520000001</v>
      </c>
      <c r="G117" s="1">
        <f t="shared" si="12"/>
        <v>2288430.1440000003</v>
      </c>
      <c r="H117" s="1">
        <f t="shared" si="13"/>
        <v>2615348.7360000005</v>
      </c>
      <c r="I117" s="1">
        <f t="shared" si="14"/>
        <v>2942267.3280000002</v>
      </c>
      <c r="J117" s="1">
        <f t="shared" si="15"/>
        <v>1471133.6640000001</v>
      </c>
      <c r="K117" s="1">
        <f t="shared" si="16"/>
        <v>1307674.3680000002</v>
      </c>
      <c r="L117" s="1">
        <f t="shared" si="17"/>
        <v>980755.77600000007</v>
      </c>
      <c r="M117" s="1">
        <f t="shared" si="18"/>
        <v>653837.18400000012</v>
      </c>
      <c r="N117" s="1">
        <f t="shared" si="19"/>
        <v>326918.59200000006</v>
      </c>
    </row>
    <row r="118" spans="1:14" x14ac:dyDescent="0.35">
      <c r="A118" t="s">
        <v>132</v>
      </c>
      <c r="B118" t="s">
        <v>2</v>
      </c>
      <c r="C118" t="s">
        <v>1</v>
      </c>
      <c r="D118" s="1">
        <v>233513.28</v>
      </c>
      <c r="E118" s="1">
        <f t="shared" si="10"/>
        <v>256864.60800000001</v>
      </c>
      <c r="F118" s="1">
        <f t="shared" si="11"/>
        <v>280215.93599999999</v>
      </c>
      <c r="G118" s="1">
        <f t="shared" si="12"/>
        <v>326918.592</v>
      </c>
      <c r="H118" s="1">
        <f t="shared" si="13"/>
        <v>373621.24800000002</v>
      </c>
      <c r="I118" s="1">
        <f t="shared" si="14"/>
        <v>420323.90399999998</v>
      </c>
      <c r="J118" s="1">
        <f t="shared" si="15"/>
        <v>210161.95199999999</v>
      </c>
      <c r="K118" s="1">
        <f t="shared" si="16"/>
        <v>186810.62400000001</v>
      </c>
      <c r="L118" s="1">
        <f t="shared" si="17"/>
        <v>140107.96799999999</v>
      </c>
      <c r="M118" s="1">
        <f t="shared" si="18"/>
        <v>93405.312000000005</v>
      </c>
      <c r="N118" s="1">
        <f t="shared" si="19"/>
        <v>46702.656000000003</v>
      </c>
    </row>
    <row r="119" spans="1:14" x14ac:dyDescent="0.35">
      <c r="A119" t="s">
        <v>133</v>
      </c>
      <c r="B119" t="s">
        <v>2</v>
      </c>
      <c r="C119" t="s">
        <v>1</v>
      </c>
      <c r="D119" s="1">
        <v>6474162.2400000002</v>
      </c>
      <c r="E119" s="1">
        <f t="shared" si="10"/>
        <v>7121578.4640000006</v>
      </c>
      <c r="F119" s="1">
        <f t="shared" si="11"/>
        <v>7768994.6880000001</v>
      </c>
      <c r="G119" s="1">
        <f t="shared" si="12"/>
        <v>9063827.1359999999</v>
      </c>
      <c r="H119" s="1">
        <f t="shared" si="13"/>
        <v>10358659.584000001</v>
      </c>
      <c r="I119" s="1">
        <f t="shared" si="14"/>
        <v>11653492.032000002</v>
      </c>
      <c r="J119" s="1">
        <f t="shared" si="15"/>
        <v>5826746.0160000008</v>
      </c>
      <c r="K119" s="1">
        <f t="shared" si="16"/>
        <v>5179329.7920000004</v>
      </c>
      <c r="L119" s="1">
        <f t="shared" si="17"/>
        <v>3884497.344</v>
      </c>
      <c r="M119" s="1">
        <f t="shared" si="18"/>
        <v>2589664.8960000002</v>
      </c>
      <c r="N119" s="1">
        <f t="shared" si="19"/>
        <v>1294832.4480000001</v>
      </c>
    </row>
    <row r="120" spans="1:14" x14ac:dyDescent="0.35">
      <c r="A120" t="s">
        <v>134</v>
      </c>
      <c r="B120" t="s">
        <v>2</v>
      </c>
      <c r="C120" t="s">
        <v>1</v>
      </c>
      <c r="D120" s="1">
        <v>4198172.16</v>
      </c>
      <c r="E120" s="1">
        <f t="shared" si="10"/>
        <v>4617989.3760000002</v>
      </c>
      <c r="F120" s="1">
        <f t="shared" si="11"/>
        <v>5037806.5920000002</v>
      </c>
      <c r="G120" s="1">
        <f t="shared" si="12"/>
        <v>5877441.0240000002</v>
      </c>
      <c r="H120" s="1">
        <f t="shared" si="13"/>
        <v>6717075.4560000002</v>
      </c>
      <c r="I120" s="1">
        <f t="shared" si="14"/>
        <v>7556709.8880000003</v>
      </c>
      <c r="J120" s="1">
        <f t="shared" si="15"/>
        <v>3778354.9440000001</v>
      </c>
      <c r="K120" s="1">
        <f t="shared" si="16"/>
        <v>3358537.7280000001</v>
      </c>
      <c r="L120" s="1">
        <f t="shared" si="17"/>
        <v>2518903.2960000001</v>
      </c>
      <c r="M120" s="1">
        <f t="shared" si="18"/>
        <v>1679268.8640000001</v>
      </c>
      <c r="N120" s="1">
        <f t="shared" si="19"/>
        <v>839634.43200000003</v>
      </c>
    </row>
    <row r="121" spans="1:14" x14ac:dyDescent="0.35">
      <c r="A121" t="s">
        <v>135</v>
      </c>
      <c r="B121" t="s">
        <v>2</v>
      </c>
      <c r="C121" t="s">
        <v>1</v>
      </c>
      <c r="D121" s="1">
        <v>5007387.8400000008</v>
      </c>
      <c r="E121" s="1">
        <f t="shared" si="10"/>
        <v>5508126.6240000017</v>
      </c>
      <c r="F121" s="1">
        <f t="shared" si="11"/>
        <v>6008865.4080000008</v>
      </c>
      <c r="G121" s="1">
        <f t="shared" si="12"/>
        <v>7010342.9760000007</v>
      </c>
      <c r="H121" s="1">
        <f t="shared" si="13"/>
        <v>8011820.5440000016</v>
      </c>
      <c r="I121" s="1">
        <f t="shared" si="14"/>
        <v>9013298.1120000016</v>
      </c>
      <c r="J121" s="1">
        <f t="shared" si="15"/>
        <v>4506649.0560000008</v>
      </c>
      <c r="K121" s="1">
        <f t="shared" si="16"/>
        <v>4005910.2720000008</v>
      </c>
      <c r="L121" s="1">
        <f t="shared" si="17"/>
        <v>3004432.7040000004</v>
      </c>
      <c r="M121" s="1">
        <f t="shared" si="18"/>
        <v>2002955.1360000004</v>
      </c>
      <c r="N121" s="1">
        <f t="shared" si="19"/>
        <v>1001477.5680000002</v>
      </c>
    </row>
    <row r="122" spans="1:14" x14ac:dyDescent="0.35">
      <c r="A122" t="s">
        <v>136</v>
      </c>
      <c r="B122" t="s">
        <v>2</v>
      </c>
      <c r="C122" t="s">
        <v>1</v>
      </c>
      <c r="D122" s="1">
        <v>1162237.4399999999</v>
      </c>
      <c r="E122" s="1">
        <f t="shared" si="10"/>
        <v>1278461.1840000001</v>
      </c>
      <c r="F122" s="1">
        <f t="shared" si="11"/>
        <v>1394684.9279999998</v>
      </c>
      <c r="G122" s="1">
        <f t="shared" si="12"/>
        <v>1627132.4159999997</v>
      </c>
      <c r="H122" s="1">
        <f t="shared" si="13"/>
        <v>1859579.9040000001</v>
      </c>
      <c r="I122" s="1">
        <f t="shared" si="14"/>
        <v>2092027.392</v>
      </c>
      <c r="J122" s="1">
        <f t="shared" si="15"/>
        <v>1046013.696</v>
      </c>
      <c r="K122" s="1">
        <f t="shared" si="16"/>
        <v>929789.95200000005</v>
      </c>
      <c r="L122" s="1">
        <f t="shared" si="17"/>
        <v>697342.46399999992</v>
      </c>
      <c r="M122" s="1">
        <f t="shared" si="18"/>
        <v>464894.97600000002</v>
      </c>
      <c r="N122" s="1">
        <f t="shared" si="19"/>
        <v>232447.48800000001</v>
      </c>
    </row>
    <row r="123" spans="1:14" x14ac:dyDescent="0.35">
      <c r="A123" t="s">
        <v>137</v>
      </c>
      <c r="B123" t="s">
        <v>2</v>
      </c>
      <c r="C123" t="s">
        <v>1</v>
      </c>
      <c r="D123" s="1">
        <v>312836.16000000003</v>
      </c>
      <c r="E123" s="1">
        <f t="shared" si="10"/>
        <v>344119.77600000007</v>
      </c>
      <c r="F123" s="1">
        <f t="shared" si="11"/>
        <v>375403.39200000005</v>
      </c>
      <c r="G123" s="1">
        <f t="shared" si="12"/>
        <v>437970.62400000001</v>
      </c>
      <c r="H123" s="1">
        <f t="shared" si="13"/>
        <v>500537.85600000009</v>
      </c>
      <c r="I123" s="1">
        <f t="shared" si="14"/>
        <v>563105.08800000011</v>
      </c>
      <c r="J123" s="1">
        <f t="shared" si="15"/>
        <v>281552.54400000005</v>
      </c>
      <c r="K123" s="1">
        <f t="shared" si="16"/>
        <v>250268.92800000004</v>
      </c>
      <c r="L123" s="1">
        <f t="shared" si="17"/>
        <v>187701.69600000003</v>
      </c>
      <c r="M123" s="1">
        <f t="shared" si="18"/>
        <v>125134.46400000002</v>
      </c>
      <c r="N123" s="1">
        <f t="shared" si="19"/>
        <v>62567.232000000011</v>
      </c>
    </row>
    <row r="124" spans="1:14" x14ac:dyDescent="0.35">
      <c r="A124" t="s">
        <v>138</v>
      </c>
      <c r="B124" t="s">
        <v>2</v>
      </c>
      <c r="C124" t="s">
        <v>1</v>
      </c>
      <c r="D124" s="1">
        <v>15588780.48</v>
      </c>
      <c r="E124" s="1">
        <f t="shared" si="10"/>
        <v>17147658.528000001</v>
      </c>
      <c r="F124" s="1">
        <f t="shared" si="11"/>
        <v>18706536.576000001</v>
      </c>
      <c r="G124" s="1">
        <f t="shared" si="12"/>
        <v>21824292.671999998</v>
      </c>
      <c r="H124" s="1">
        <f t="shared" si="13"/>
        <v>24942048.768000003</v>
      </c>
      <c r="I124" s="1">
        <f t="shared" si="14"/>
        <v>28059804.864</v>
      </c>
      <c r="J124" s="1">
        <f t="shared" si="15"/>
        <v>14029902.432</v>
      </c>
      <c r="K124" s="1">
        <f t="shared" si="16"/>
        <v>12471024.384000001</v>
      </c>
      <c r="L124" s="1">
        <f t="shared" si="17"/>
        <v>9353268.2880000006</v>
      </c>
      <c r="M124" s="1">
        <f t="shared" si="18"/>
        <v>6235512.1920000007</v>
      </c>
      <c r="N124" s="1">
        <f t="shared" si="19"/>
        <v>3117756.0960000004</v>
      </c>
    </row>
    <row r="125" spans="1:14" x14ac:dyDescent="0.35">
      <c r="A125" t="s">
        <v>139</v>
      </c>
      <c r="B125" t="s">
        <v>2</v>
      </c>
      <c r="C125" t="s">
        <v>1</v>
      </c>
      <c r="D125" s="1">
        <v>37504434.240000002</v>
      </c>
      <c r="E125" s="1">
        <f t="shared" si="10"/>
        <v>41254877.664000005</v>
      </c>
      <c r="F125" s="1">
        <f t="shared" si="11"/>
        <v>45005321.088</v>
      </c>
      <c r="G125" s="1">
        <f t="shared" si="12"/>
        <v>52506207.935999997</v>
      </c>
      <c r="H125" s="1">
        <f t="shared" si="13"/>
        <v>60007094.784000009</v>
      </c>
      <c r="I125" s="1">
        <f t="shared" si="14"/>
        <v>67507981.631999999</v>
      </c>
      <c r="J125" s="1">
        <f t="shared" si="15"/>
        <v>33753990.816</v>
      </c>
      <c r="K125" s="1">
        <f t="shared" si="16"/>
        <v>30003547.392000005</v>
      </c>
      <c r="L125" s="1">
        <f t="shared" si="17"/>
        <v>22502660.544</v>
      </c>
      <c r="M125" s="1">
        <f t="shared" si="18"/>
        <v>15001773.696000002</v>
      </c>
      <c r="N125" s="1">
        <f t="shared" si="19"/>
        <v>7500886.8480000012</v>
      </c>
    </row>
    <row r="126" spans="1:14" x14ac:dyDescent="0.35">
      <c r="A126" t="s">
        <v>140</v>
      </c>
      <c r="B126" t="s">
        <v>2</v>
      </c>
      <c r="C126" t="s">
        <v>1</v>
      </c>
      <c r="D126" s="1">
        <v>204160.32</v>
      </c>
      <c r="E126" s="1">
        <f t="shared" si="10"/>
        <v>224576.35200000001</v>
      </c>
      <c r="F126" s="1">
        <f t="shared" si="11"/>
        <v>244992.38399999999</v>
      </c>
      <c r="G126" s="1">
        <f t="shared" si="12"/>
        <v>285824.44799999997</v>
      </c>
      <c r="H126" s="1">
        <f t="shared" si="13"/>
        <v>326656.51200000005</v>
      </c>
      <c r="I126" s="1">
        <f t="shared" si="14"/>
        <v>367488.576</v>
      </c>
      <c r="J126" s="1">
        <f t="shared" si="15"/>
        <v>183744.288</v>
      </c>
      <c r="K126" s="1">
        <f t="shared" si="16"/>
        <v>163328.25600000002</v>
      </c>
      <c r="L126" s="1">
        <f t="shared" si="17"/>
        <v>122496.192</v>
      </c>
      <c r="M126" s="1">
        <f t="shared" si="18"/>
        <v>81664.128000000012</v>
      </c>
      <c r="N126" s="1">
        <f t="shared" si="19"/>
        <v>40832.064000000006</v>
      </c>
    </row>
    <row r="127" spans="1:14" x14ac:dyDescent="0.35">
      <c r="A127" t="s">
        <v>141</v>
      </c>
      <c r="B127" t="s">
        <v>2</v>
      </c>
      <c r="C127" t="s">
        <v>1</v>
      </c>
      <c r="D127" s="1">
        <v>10325952</v>
      </c>
      <c r="E127" s="1">
        <f t="shared" si="10"/>
        <v>11358547.200000001</v>
      </c>
      <c r="F127" s="1">
        <f t="shared" si="11"/>
        <v>12391142.4</v>
      </c>
      <c r="G127" s="1">
        <f t="shared" si="12"/>
        <v>14456332.799999999</v>
      </c>
      <c r="H127" s="1">
        <f t="shared" si="13"/>
        <v>16521523.200000001</v>
      </c>
      <c r="I127" s="1">
        <f t="shared" si="14"/>
        <v>18586713.600000001</v>
      </c>
      <c r="J127" s="1">
        <f t="shared" si="15"/>
        <v>9293356.8000000007</v>
      </c>
      <c r="K127" s="1">
        <f t="shared" si="16"/>
        <v>8260761.6000000006</v>
      </c>
      <c r="L127" s="1">
        <f t="shared" si="17"/>
        <v>6195571.2000000002</v>
      </c>
      <c r="M127" s="1">
        <f t="shared" si="18"/>
        <v>4130380.8000000003</v>
      </c>
      <c r="N127" s="1">
        <f t="shared" si="19"/>
        <v>2065190.4000000001</v>
      </c>
    </row>
    <row r="128" spans="1:14" x14ac:dyDescent="0.35">
      <c r="A128" t="s">
        <v>142</v>
      </c>
      <c r="B128" t="s">
        <v>2</v>
      </c>
      <c r="C128" t="s">
        <v>1</v>
      </c>
      <c r="D128" s="1">
        <v>1695395.52</v>
      </c>
      <c r="E128" s="1">
        <f t="shared" si="10"/>
        <v>1864935.0720000002</v>
      </c>
      <c r="F128" s="1">
        <f t="shared" si="11"/>
        <v>2034474.6239999998</v>
      </c>
      <c r="G128" s="1">
        <f t="shared" si="12"/>
        <v>2373553.7279999997</v>
      </c>
      <c r="H128" s="1">
        <f t="shared" si="13"/>
        <v>2712632.8320000004</v>
      </c>
      <c r="I128" s="1">
        <f t="shared" si="14"/>
        <v>3051711.9360000002</v>
      </c>
      <c r="J128" s="1">
        <f t="shared" si="15"/>
        <v>1525855.9680000001</v>
      </c>
      <c r="K128" s="1">
        <f t="shared" si="16"/>
        <v>1356316.4160000002</v>
      </c>
      <c r="L128" s="1">
        <f t="shared" si="17"/>
        <v>1017237.3119999999</v>
      </c>
      <c r="M128" s="1">
        <f t="shared" si="18"/>
        <v>678158.2080000001</v>
      </c>
      <c r="N128" s="1">
        <f t="shared" si="19"/>
        <v>339079.10400000005</v>
      </c>
    </row>
    <row r="129" spans="1:14" x14ac:dyDescent="0.35">
      <c r="A129" t="s">
        <v>143</v>
      </c>
      <c r="B129" t="s">
        <v>2</v>
      </c>
      <c r="C129" t="s">
        <v>1</v>
      </c>
      <c r="D129" s="1">
        <v>7200735.3600000003</v>
      </c>
      <c r="E129" s="1">
        <f t="shared" si="10"/>
        <v>7920808.8960000006</v>
      </c>
      <c r="F129" s="1">
        <f t="shared" si="11"/>
        <v>8640882.432</v>
      </c>
      <c r="G129" s="1">
        <f t="shared" si="12"/>
        <v>10081029.504000001</v>
      </c>
      <c r="H129" s="1">
        <f t="shared" si="13"/>
        <v>11521176.576000001</v>
      </c>
      <c r="I129" s="1">
        <f t="shared" si="14"/>
        <v>12961323.648</v>
      </c>
      <c r="J129" s="1">
        <f t="shared" si="15"/>
        <v>6480661.824</v>
      </c>
      <c r="K129" s="1">
        <f t="shared" si="16"/>
        <v>5760588.2880000006</v>
      </c>
      <c r="L129" s="1">
        <f t="shared" si="17"/>
        <v>4320441.216</v>
      </c>
      <c r="M129" s="1">
        <f t="shared" si="18"/>
        <v>2880294.1440000003</v>
      </c>
      <c r="N129" s="1">
        <f t="shared" si="19"/>
        <v>1440147.0720000002</v>
      </c>
    </row>
    <row r="130" spans="1:14" x14ac:dyDescent="0.35">
      <c r="A130" t="s">
        <v>144</v>
      </c>
      <c r="B130" t="s">
        <v>2</v>
      </c>
      <c r="C130" t="s">
        <v>1</v>
      </c>
      <c r="D130" s="1">
        <v>1470967.68</v>
      </c>
      <c r="E130" s="1">
        <f t="shared" si="10"/>
        <v>1618064.4480000001</v>
      </c>
      <c r="F130" s="1">
        <f t="shared" si="11"/>
        <v>1765161.2159999998</v>
      </c>
      <c r="G130" s="1">
        <f t="shared" si="12"/>
        <v>2059354.7519999999</v>
      </c>
      <c r="H130" s="1">
        <f t="shared" si="13"/>
        <v>2353548.2880000002</v>
      </c>
      <c r="I130" s="1">
        <f t="shared" si="14"/>
        <v>2647741.824</v>
      </c>
      <c r="J130" s="1">
        <f t="shared" si="15"/>
        <v>1323870.912</v>
      </c>
      <c r="K130" s="1">
        <f t="shared" si="16"/>
        <v>1176774.1440000001</v>
      </c>
      <c r="L130" s="1">
        <f t="shared" si="17"/>
        <v>882580.60799999989</v>
      </c>
      <c r="M130" s="1">
        <f t="shared" si="18"/>
        <v>588387.07200000004</v>
      </c>
      <c r="N130" s="1">
        <f t="shared" si="19"/>
        <v>294193.53600000002</v>
      </c>
    </row>
    <row r="131" spans="1:14" x14ac:dyDescent="0.35">
      <c r="A131" t="s">
        <v>145</v>
      </c>
      <c r="B131" t="s">
        <v>2</v>
      </c>
      <c r="C131" t="s">
        <v>1</v>
      </c>
      <c r="D131" s="1">
        <v>192803.52</v>
      </c>
      <c r="E131" s="1">
        <f t="shared" ref="E131:E160" si="20">D131*1.1</f>
        <v>212083.872</v>
      </c>
      <c r="F131" s="1">
        <f t="shared" ref="F131:F160" si="21">D131*1.2</f>
        <v>231364.22399999999</v>
      </c>
      <c r="G131" s="1">
        <f t="shared" ref="G131:G160" si="22">D131*1.4</f>
        <v>269924.92799999996</v>
      </c>
      <c r="H131" s="1">
        <f t="shared" ref="H131:H160" si="23">D131*1.6</f>
        <v>308485.63199999998</v>
      </c>
      <c r="I131" s="1">
        <f t="shared" ref="I131:I160" si="24">D131*1.8</f>
        <v>347046.33600000001</v>
      </c>
      <c r="J131" s="1">
        <f t="shared" ref="J131:J160" si="25">D131*0.9</f>
        <v>173523.16800000001</v>
      </c>
      <c r="K131" s="1">
        <f t="shared" ref="K131:K160" si="26">D131*0.8</f>
        <v>154242.81599999999</v>
      </c>
      <c r="L131" s="1">
        <f t="shared" ref="L131:L160" si="27">D131*0.6</f>
        <v>115682.11199999999</v>
      </c>
      <c r="M131" s="1">
        <f t="shared" ref="M131:M160" si="28">D131*0.4</f>
        <v>77121.407999999996</v>
      </c>
      <c r="N131" s="1">
        <f t="shared" ref="N131:N160" si="29">D131*0.2</f>
        <v>38560.703999999998</v>
      </c>
    </row>
    <row r="132" spans="1:14" x14ac:dyDescent="0.35">
      <c r="A132" t="s">
        <v>146</v>
      </c>
      <c r="B132" t="s">
        <v>2</v>
      </c>
      <c r="C132" t="s">
        <v>1</v>
      </c>
      <c r="D132" s="1">
        <v>152093.76000000001</v>
      </c>
      <c r="E132" s="1">
        <f t="shared" si="20"/>
        <v>167303.13600000003</v>
      </c>
      <c r="F132" s="1">
        <f t="shared" si="21"/>
        <v>182512.51200000002</v>
      </c>
      <c r="G132" s="1">
        <f t="shared" si="22"/>
        <v>212931.264</v>
      </c>
      <c r="H132" s="1">
        <f t="shared" si="23"/>
        <v>243350.01600000003</v>
      </c>
      <c r="I132" s="1">
        <f t="shared" si="24"/>
        <v>273768.76800000004</v>
      </c>
      <c r="J132" s="1">
        <f t="shared" si="25"/>
        <v>136884.38400000002</v>
      </c>
      <c r="K132" s="1">
        <f t="shared" si="26"/>
        <v>121675.00800000002</v>
      </c>
      <c r="L132" s="1">
        <f t="shared" si="27"/>
        <v>91256.256000000008</v>
      </c>
      <c r="M132" s="1">
        <f t="shared" si="28"/>
        <v>60837.504000000008</v>
      </c>
      <c r="N132" s="1">
        <f t="shared" si="29"/>
        <v>30418.752000000004</v>
      </c>
    </row>
    <row r="133" spans="1:14" x14ac:dyDescent="0.35">
      <c r="A133" t="s">
        <v>147</v>
      </c>
      <c r="B133" t="s">
        <v>2</v>
      </c>
      <c r="C133" t="s">
        <v>1</v>
      </c>
      <c r="D133" s="1">
        <v>1138562.8800000001</v>
      </c>
      <c r="E133" s="1">
        <f t="shared" si="20"/>
        <v>1252419.1680000003</v>
      </c>
      <c r="F133" s="1">
        <f t="shared" si="21"/>
        <v>1366275.456</v>
      </c>
      <c r="G133" s="1">
        <f t="shared" si="22"/>
        <v>1593988.0320000001</v>
      </c>
      <c r="H133" s="1">
        <f t="shared" si="23"/>
        <v>1821700.6080000002</v>
      </c>
      <c r="I133" s="1">
        <f t="shared" si="24"/>
        <v>2049413.1840000004</v>
      </c>
      <c r="J133" s="1">
        <f t="shared" si="25"/>
        <v>1024706.5920000002</v>
      </c>
      <c r="K133" s="1">
        <f t="shared" si="26"/>
        <v>910850.30400000012</v>
      </c>
      <c r="L133" s="1">
        <f t="shared" si="27"/>
        <v>683137.728</v>
      </c>
      <c r="M133" s="1">
        <f t="shared" si="28"/>
        <v>455425.15200000006</v>
      </c>
      <c r="N133" s="1">
        <f t="shared" si="29"/>
        <v>227712.57600000003</v>
      </c>
    </row>
    <row r="134" spans="1:14" x14ac:dyDescent="0.35">
      <c r="A134" t="s">
        <v>148</v>
      </c>
      <c r="B134" t="s">
        <v>2</v>
      </c>
      <c r="C134" t="s">
        <v>1</v>
      </c>
      <c r="D134" s="1">
        <v>10240164.48</v>
      </c>
      <c r="E134" s="1">
        <f t="shared" si="20"/>
        <v>11264180.928000001</v>
      </c>
      <c r="F134" s="1">
        <f t="shared" si="21"/>
        <v>12288197.376</v>
      </c>
      <c r="G134" s="1">
        <f t="shared" si="22"/>
        <v>14336230.272</v>
      </c>
      <c r="H134" s="1">
        <f t="shared" si="23"/>
        <v>16384263.168000001</v>
      </c>
      <c r="I134" s="1">
        <f t="shared" si="24"/>
        <v>18432296.064000003</v>
      </c>
      <c r="J134" s="1">
        <f t="shared" si="25"/>
        <v>9216148.0320000015</v>
      </c>
      <c r="K134" s="1">
        <f t="shared" si="26"/>
        <v>8192131.5840000007</v>
      </c>
      <c r="L134" s="1">
        <f t="shared" si="27"/>
        <v>6144098.6880000001</v>
      </c>
      <c r="M134" s="1">
        <f t="shared" si="28"/>
        <v>4096065.7920000004</v>
      </c>
      <c r="N134" s="1">
        <f t="shared" si="29"/>
        <v>2048032.8960000002</v>
      </c>
    </row>
    <row r="135" spans="1:14" x14ac:dyDescent="0.35">
      <c r="A135" t="s">
        <v>149</v>
      </c>
      <c r="B135" t="s">
        <v>2</v>
      </c>
      <c r="C135" t="s">
        <v>1</v>
      </c>
      <c r="D135" s="1">
        <v>323581.44</v>
      </c>
      <c r="E135" s="1">
        <f t="shared" si="20"/>
        <v>355939.58400000003</v>
      </c>
      <c r="F135" s="1">
        <f t="shared" si="21"/>
        <v>388297.728</v>
      </c>
      <c r="G135" s="1">
        <f t="shared" si="22"/>
        <v>453014.016</v>
      </c>
      <c r="H135" s="1">
        <f t="shared" si="23"/>
        <v>517730.304</v>
      </c>
      <c r="I135" s="1">
        <f t="shared" si="24"/>
        <v>582446.59200000006</v>
      </c>
      <c r="J135" s="1">
        <f t="shared" si="25"/>
        <v>291223.29600000003</v>
      </c>
      <c r="K135" s="1">
        <f t="shared" si="26"/>
        <v>258865.152</v>
      </c>
      <c r="L135" s="1">
        <f t="shared" si="27"/>
        <v>194148.864</v>
      </c>
      <c r="M135" s="1">
        <f t="shared" si="28"/>
        <v>129432.576</v>
      </c>
      <c r="N135" s="1">
        <f t="shared" si="29"/>
        <v>64716.288</v>
      </c>
    </row>
    <row r="136" spans="1:14" x14ac:dyDescent="0.35">
      <c r="A136" t="s">
        <v>150</v>
      </c>
      <c r="B136" t="s">
        <v>2</v>
      </c>
      <c r="C136" t="s">
        <v>1</v>
      </c>
      <c r="D136" s="1">
        <v>3886384.32</v>
      </c>
      <c r="E136" s="1">
        <f t="shared" si="20"/>
        <v>4275022.7520000003</v>
      </c>
      <c r="F136" s="1">
        <f t="shared" si="21"/>
        <v>4663661.1839999994</v>
      </c>
      <c r="G136" s="1">
        <f t="shared" si="22"/>
        <v>5440938.0479999995</v>
      </c>
      <c r="H136" s="1">
        <f t="shared" si="23"/>
        <v>6218214.9120000005</v>
      </c>
      <c r="I136" s="1">
        <f t="shared" si="24"/>
        <v>6995491.7759999996</v>
      </c>
      <c r="J136" s="1">
        <f t="shared" si="25"/>
        <v>3497745.8879999998</v>
      </c>
      <c r="K136" s="1">
        <f t="shared" si="26"/>
        <v>3109107.4560000002</v>
      </c>
      <c r="L136" s="1">
        <f t="shared" si="27"/>
        <v>2331830.5919999997</v>
      </c>
      <c r="M136" s="1">
        <f t="shared" si="28"/>
        <v>1554553.7280000001</v>
      </c>
      <c r="N136" s="1">
        <f t="shared" si="29"/>
        <v>777276.86400000006</v>
      </c>
    </row>
    <row r="137" spans="1:14" x14ac:dyDescent="0.35">
      <c r="A137" t="s">
        <v>151</v>
      </c>
      <c r="B137" t="s">
        <v>2</v>
      </c>
      <c r="C137" t="s">
        <v>1</v>
      </c>
      <c r="D137" s="1">
        <v>233688</v>
      </c>
      <c r="E137" s="1">
        <f t="shared" si="20"/>
        <v>257056.80000000002</v>
      </c>
      <c r="F137" s="1">
        <f t="shared" si="21"/>
        <v>280425.59999999998</v>
      </c>
      <c r="G137" s="1">
        <f t="shared" si="22"/>
        <v>327163.19999999995</v>
      </c>
      <c r="H137" s="1">
        <f t="shared" si="23"/>
        <v>373900.80000000005</v>
      </c>
      <c r="I137" s="1">
        <f t="shared" si="24"/>
        <v>420638.4</v>
      </c>
      <c r="J137" s="1">
        <f t="shared" si="25"/>
        <v>210319.2</v>
      </c>
      <c r="K137" s="1">
        <f t="shared" si="26"/>
        <v>186950.40000000002</v>
      </c>
      <c r="L137" s="1">
        <f t="shared" si="27"/>
        <v>140212.79999999999</v>
      </c>
      <c r="M137" s="1">
        <f t="shared" si="28"/>
        <v>93475.200000000012</v>
      </c>
      <c r="N137" s="1">
        <f t="shared" si="29"/>
        <v>46737.600000000006</v>
      </c>
    </row>
    <row r="138" spans="1:14" x14ac:dyDescent="0.35">
      <c r="A138" t="s">
        <v>152</v>
      </c>
      <c r="B138" t="s">
        <v>2</v>
      </c>
      <c r="C138" t="s">
        <v>1</v>
      </c>
      <c r="D138" s="1">
        <v>12316886.4</v>
      </c>
      <c r="E138" s="1">
        <f t="shared" si="20"/>
        <v>13548575.040000001</v>
      </c>
      <c r="F138" s="1">
        <f t="shared" si="21"/>
        <v>14780263.68</v>
      </c>
      <c r="G138" s="1">
        <f t="shared" si="22"/>
        <v>17243640.960000001</v>
      </c>
      <c r="H138" s="1">
        <f t="shared" si="23"/>
        <v>19707018.240000002</v>
      </c>
      <c r="I138" s="1">
        <f t="shared" si="24"/>
        <v>22170395.52</v>
      </c>
      <c r="J138" s="1">
        <f t="shared" si="25"/>
        <v>11085197.76</v>
      </c>
      <c r="K138" s="1">
        <f t="shared" si="26"/>
        <v>9853509.120000001</v>
      </c>
      <c r="L138" s="1">
        <f t="shared" si="27"/>
        <v>7390131.8399999999</v>
      </c>
      <c r="M138" s="1">
        <f t="shared" si="28"/>
        <v>4926754.5600000005</v>
      </c>
      <c r="N138" s="1">
        <f t="shared" si="29"/>
        <v>2463377.2800000003</v>
      </c>
    </row>
    <row r="139" spans="1:14" x14ac:dyDescent="0.35">
      <c r="A139" t="s">
        <v>153</v>
      </c>
      <c r="B139" t="s">
        <v>2</v>
      </c>
      <c r="C139" t="s">
        <v>1</v>
      </c>
      <c r="D139" s="1">
        <v>1358360.6400000001</v>
      </c>
      <c r="E139" s="1">
        <f t="shared" si="20"/>
        <v>1494196.7040000004</v>
      </c>
      <c r="F139" s="1">
        <f t="shared" si="21"/>
        <v>1630032.7680000002</v>
      </c>
      <c r="G139" s="1">
        <f t="shared" si="22"/>
        <v>1901704.8959999999</v>
      </c>
      <c r="H139" s="1">
        <f t="shared" si="23"/>
        <v>2173377.0240000002</v>
      </c>
      <c r="I139" s="1">
        <f t="shared" si="24"/>
        <v>2445049.1520000002</v>
      </c>
      <c r="J139" s="1">
        <f t="shared" si="25"/>
        <v>1222524.5760000001</v>
      </c>
      <c r="K139" s="1">
        <f t="shared" si="26"/>
        <v>1086688.5120000001</v>
      </c>
      <c r="L139" s="1">
        <f t="shared" si="27"/>
        <v>815016.38400000008</v>
      </c>
      <c r="M139" s="1">
        <f t="shared" si="28"/>
        <v>543344.25600000005</v>
      </c>
      <c r="N139" s="1">
        <f t="shared" si="29"/>
        <v>271672.12800000003</v>
      </c>
    </row>
    <row r="140" spans="1:14" x14ac:dyDescent="0.35">
      <c r="A140" t="s">
        <v>154</v>
      </c>
      <c r="B140" t="s">
        <v>2</v>
      </c>
      <c r="C140" t="s">
        <v>1</v>
      </c>
      <c r="D140" s="1">
        <v>1776552.9600000002</v>
      </c>
      <c r="E140" s="1">
        <f t="shared" si="20"/>
        <v>1954208.2560000003</v>
      </c>
      <c r="F140" s="1">
        <f t="shared" si="21"/>
        <v>2131863.5520000001</v>
      </c>
      <c r="G140" s="1">
        <f t="shared" si="22"/>
        <v>2487174.1440000003</v>
      </c>
      <c r="H140" s="1">
        <f t="shared" si="23"/>
        <v>2842484.7360000005</v>
      </c>
      <c r="I140" s="1">
        <f t="shared" si="24"/>
        <v>3197795.3280000002</v>
      </c>
      <c r="J140" s="1">
        <f t="shared" si="25"/>
        <v>1598897.6640000001</v>
      </c>
      <c r="K140" s="1">
        <f t="shared" si="26"/>
        <v>1421242.3680000002</v>
      </c>
      <c r="L140" s="1">
        <f t="shared" si="27"/>
        <v>1065931.7760000001</v>
      </c>
      <c r="M140" s="1">
        <f t="shared" si="28"/>
        <v>710621.18400000012</v>
      </c>
      <c r="N140" s="1">
        <f t="shared" si="29"/>
        <v>355310.59200000006</v>
      </c>
    </row>
    <row r="141" spans="1:14" x14ac:dyDescent="0.35">
      <c r="A141" t="s">
        <v>155</v>
      </c>
      <c r="B141" t="s">
        <v>2</v>
      </c>
      <c r="C141" t="s">
        <v>1</v>
      </c>
      <c r="D141" s="1">
        <v>1493681.2799999998</v>
      </c>
      <c r="E141" s="1">
        <f t="shared" si="20"/>
        <v>1643049.4079999998</v>
      </c>
      <c r="F141" s="1">
        <f t="shared" si="21"/>
        <v>1792417.5359999996</v>
      </c>
      <c r="G141" s="1">
        <f t="shared" si="22"/>
        <v>2091153.7919999997</v>
      </c>
      <c r="H141" s="1">
        <f t="shared" si="23"/>
        <v>2389890.048</v>
      </c>
      <c r="I141" s="1">
        <f t="shared" si="24"/>
        <v>2688626.3039999995</v>
      </c>
      <c r="J141" s="1">
        <f t="shared" si="25"/>
        <v>1344313.1519999998</v>
      </c>
      <c r="K141" s="1">
        <f t="shared" si="26"/>
        <v>1194945.024</v>
      </c>
      <c r="L141" s="1">
        <f t="shared" si="27"/>
        <v>896208.76799999981</v>
      </c>
      <c r="M141" s="1">
        <f t="shared" si="28"/>
        <v>597472.51199999999</v>
      </c>
      <c r="N141" s="1">
        <f t="shared" si="29"/>
        <v>298736.25599999999</v>
      </c>
    </row>
    <row r="142" spans="1:14" x14ac:dyDescent="0.35">
      <c r="A142" t="s">
        <v>156</v>
      </c>
      <c r="B142" t="s">
        <v>2</v>
      </c>
      <c r="C142" t="s">
        <v>1</v>
      </c>
      <c r="D142" s="1">
        <v>763526.4</v>
      </c>
      <c r="E142" s="1">
        <f t="shared" si="20"/>
        <v>839879.04</v>
      </c>
      <c r="F142" s="1">
        <f t="shared" si="21"/>
        <v>916231.68000000005</v>
      </c>
      <c r="G142" s="1">
        <f t="shared" si="22"/>
        <v>1068936.96</v>
      </c>
      <c r="H142" s="1">
        <f t="shared" si="23"/>
        <v>1221642.24</v>
      </c>
      <c r="I142" s="1">
        <f t="shared" si="24"/>
        <v>1374347.52</v>
      </c>
      <c r="J142" s="1">
        <f t="shared" si="25"/>
        <v>687173.76</v>
      </c>
      <c r="K142" s="1">
        <f t="shared" si="26"/>
        <v>610821.12</v>
      </c>
      <c r="L142" s="1">
        <f t="shared" si="27"/>
        <v>458115.84000000003</v>
      </c>
      <c r="M142" s="1">
        <f t="shared" si="28"/>
        <v>305410.56</v>
      </c>
      <c r="N142" s="1">
        <f t="shared" si="29"/>
        <v>152705.28</v>
      </c>
    </row>
    <row r="143" spans="1:14" x14ac:dyDescent="0.35">
      <c r="A143" t="s">
        <v>157</v>
      </c>
      <c r="B143" t="s">
        <v>2</v>
      </c>
      <c r="C143" t="s">
        <v>1</v>
      </c>
      <c r="D143" s="1">
        <v>1171759.68</v>
      </c>
      <c r="E143" s="1">
        <f t="shared" si="20"/>
        <v>1288935.648</v>
      </c>
      <c r="F143" s="1">
        <f t="shared" si="21"/>
        <v>1406111.6159999999</v>
      </c>
      <c r="G143" s="1">
        <f t="shared" si="22"/>
        <v>1640463.5519999999</v>
      </c>
      <c r="H143" s="1">
        <f t="shared" si="23"/>
        <v>1874815.4879999999</v>
      </c>
      <c r="I143" s="1">
        <f t="shared" si="24"/>
        <v>2109167.4240000001</v>
      </c>
      <c r="J143" s="1">
        <f t="shared" si="25"/>
        <v>1054583.7120000001</v>
      </c>
      <c r="K143" s="1">
        <f t="shared" si="26"/>
        <v>937407.74399999995</v>
      </c>
      <c r="L143" s="1">
        <f t="shared" si="27"/>
        <v>703055.80799999996</v>
      </c>
      <c r="M143" s="1">
        <f t="shared" si="28"/>
        <v>468703.87199999997</v>
      </c>
      <c r="N143" s="1">
        <f t="shared" si="29"/>
        <v>234351.93599999999</v>
      </c>
    </row>
    <row r="144" spans="1:14" x14ac:dyDescent="0.35">
      <c r="A144" t="s">
        <v>158</v>
      </c>
      <c r="B144" t="s">
        <v>2</v>
      </c>
      <c r="C144" t="s">
        <v>1</v>
      </c>
      <c r="D144" s="1">
        <v>1135505.2799999998</v>
      </c>
      <c r="E144" s="1">
        <f t="shared" si="20"/>
        <v>1249055.808</v>
      </c>
      <c r="F144" s="1">
        <f t="shared" si="21"/>
        <v>1362606.3359999997</v>
      </c>
      <c r="G144" s="1">
        <f t="shared" si="22"/>
        <v>1589707.3919999995</v>
      </c>
      <c r="H144" s="1">
        <f t="shared" si="23"/>
        <v>1816808.4479999999</v>
      </c>
      <c r="I144" s="1">
        <f t="shared" si="24"/>
        <v>2043909.5039999997</v>
      </c>
      <c r="J144" s="1">
        <f t="shared" si="25"/>
        <v>1021954.7519999999</v>
      </c>
      <c r="K144" s="1">
        <f t="shared" si="26"/>
        <v>908404.22399999993</v>
      </c>
      <c r="L144" s="1">
        <f t="shared" si="27"/>
        <v>681303.16799999983</v>
      </c>
      <c r="M144" s="1">
        <f t="shared" si="28"/>
        <v>454202.11199999996</v>
      </c>
      <c r="N144" s="1">
        <f t="shared" si="29"/>
        <v>227101.05599999998</v>
      </c>
    </row>
    <row r="145" spans="1:14" x14ac:dyDescent="0.35">
      <c r="A145" t="s">
        <v>159</v>
      </c>
      <c r="B145" t="s">
        <v>2</v>
      </c>
      <c r="C145" t="s">
        <v>1</v>
      </c>
      <c r="D145" s="1">
        <v>1387451.52</v>
      </c>
      <c r="E145" s="1">
        <f t="shared" si="20"/>
        <v>1526196.6720000003</v>
      </c>
      <c r="F145" s="1">
        <f t="shared" si="21"/>
        <v>1664941.824</v>
      </c>
      <c r="G145" s="1">
        <f t="shared" si="22"/>
        <v>1942432.1279999998</v>
      </c>
      <c r="H145" s="1">
        <f t="shared" si="23"/>
        <v>2219922.432</v>
      </c>
      <c r="I145" s="1">
        <f t="shared" si="24"/>
        <v>2497412.736</v>
      </c>
      <c r="J145" s="1">
        <f t="shared" si="25"/>
        <v>1248706.368</v>
      </c>
      <c r="K145" s="1">
        <f t="shared" si="26"/>
        <v>1109961.216</v>
      </c>
      <c r="L145" s="1">
        <f t="shared" si="27"/>
        <v>832470.91200000001</v>
      </c>
      <c r="M145" s="1">
        <f t="shared" si="28"/>
        <v>554980.60800000001</v>
      </c>
      <c r="N145" s="1">
        <f t="shared" si="29"/>
        <v>277490.304</v>
      </c>
    </row>
    <row r="146" spans="1:14" x14ac:dyDescent="0.35">
      <c r="A146" t="s">
        <v>160</v>
      </c>
      <c r="B146" t="s">
        <v>2</v>
      </c>
      <c r="C146" t="s">
        <v>1</v>
      </c>
      <c r="D146" s="1">
        <v>40904048.640000001</v>
      </c>
      <c r="E146" s="1">
        <f t="shared" si="20"/>
        <v>44994453.504000001</v>
      </c>
      <c r="F146" s="1">
        <f t="shared" si="21"/>
        <v>49084858.368000001</v>
      </c>
      <c r="G146" s="1">
        <f t="shared" si="22"/>
        <v>57265668.096000001</v>
      </c>
      <c r="H146" s="1">
        <f t="shared" si="23"/>
        <v>65446477.824000001</v>
      </c>
      <c r="I146" s="1">
        <f t="shared" si="24"/>
        <v>73627287.552000001</v>
      </c>
      <c r="J146" s="1">
        <f t="shared" si="25"/>
        <v>36813643.776000001</v>
      </c>
      <c r="K146" s="1">
        <f t="shared" si="26"/>
        <v>32723238.912</v>
      </c>
      <c r="L146" s="1">
        <f t="shared" si="27"/>
        <v>24542429.184</v>
      </c>
      <c r="M146" s="1">
        <f t="shared" si="28"/>
        <v>16361619.456</v>
      </c>
      <c r="N146" s="1">
        <f t="shared" si="29"/>
        <v>8180809.7280000001</v>
      </c>
    </row>
    <row r="147" spans="1:14" x14ac:dyDescent="0.35">
      <c r="A147" t="s">
        <v>161</v>
      </c>
      <c r="B147" t="s">
        <v>2</v>
      </c>
      <c r="C147" t="s">
        <v>1</v>
      </c>
      <c r="D147" s="1">
        <v>1027353.6</v>
      </c>
      <c r="E147" s="1">
        <f t="shared" si="20"/>
        <v>1130088.96</v>
      </c>
      <c r="F147" s="1">
        <f t="shared" si="21"/>
        <v>1232824.3199999998</v>
      </c>
      <c r="G147" s="1">
        <f t="shared" si="22"/>
        <v>1438295.0399999998</v>
      </c>
      <c r="H147" s="1">
        <f t="shared" si="23"/>
        <v>1643765.76</v>
      </c>
      <c r="I147" s="1">
        <f t="shared" si="24"/>
        <v>1849236.48</v>
      </c>
      <c r="J147" s="1">
        <f t="shared" si="25"/>
        <v>924618.23999999999</v>
      </c>
      <c r="K147" s="1">
        <f t="shared" si="26"/>
        <v>821882.88</v>
      </c>
      <c r="L147" s="1">
        <f t="shared" si="27"/>
        <v>616412.15999999992</v>
      </c>
      <c r="M147" s="1">
        <f t="shared" si="28"/>
        <v>410941.44</v>
      </c>
      <c r="N147" s="1">
        <f t="shared" si="29"/>
        <v>205470.72</v>
      </c>
    </row>
    <row r="148" spans="1:14" x14ac:dyDescent="0.35">
      <c r="A148" t="s">
        <v>162</v>
      </c>
      <c r="B148" t="s">
        <v>2</v>
      </c>
      <c r="C148" t="s">
        <v>1</v>
      </c>
      <c r="D148" s="1">
        <v>3185495.04</v>
      </c>
      <c r="E148" s="1">
        <f t="shared" si="20"/>
        <v>3504044.5440000002</v>
      </c>
      <c r="F148" s="1">
        <f t="shared" si="21"/>
        <v>3822594.048</v>
      </c>
      <c r="G148" s="1">
        <f t="shared" si="22"/>
        <v>4459693.0559999999</v>
      </c>
      <c r="H148" s="1">
        <f t="shared" si="23"/>
        <v>5096792.0640000002</v>
      </c>
      <c r="I148" s="1">
        <f t="shared" si="24"/>
        <v>5733891.0720000006</v>
      </c>
      <c r="J148" s="1">
        <f t="shared" si="25"/>
        <v>2866945.5360000003</v>
      </c>
      <c r="K148" s="1">
        <f t="shared" si="26"/>
        <v>2548396.0320000001</v>
      </c>
      <c r="L148" s="1">
        <f t="shared" si="27"/>
        <v>1911297.024</v>
      </c>
      <c r="M148" s="1">
        <f t="shared" si="28"/>
        <v>1274198.0160000001</v>
      </c>
      <c r="N148" s="1">
        <f t="shared" si="29"/>
        <v>637099.00800000003</v>
      </c>
    </row>
    <row r="149" spans="1:14" x14ac:dyDescent="0.35">
      <c r="A149" t="s">
        <v>163</v>
      </c>
      <c r="B149" t="s">
        <v>2</v>
      </c>
      <c r="C149" t="s">
        <v>1</v>
      </c>
      <c r="D149" s="1">
        <v>2563666.5599999996</v>
      </c>
      <c r="E149" s="1">
        <f t="shared" si="20"/>
        <v>2820033.2159999995</v>
      </c>
      <c r="F149" s="1">
        <f t="shared" si="21"/>
        <v>3076399.8719999995</v>
      </c>
      <c r="G149" s="1">
        <f t="shared" si="22"/>
        <v>3589133.1839999994</v>
      </c>
      <c r="H149" s="1">
        <f t="shared" si="23"/>
        <v>4101866.4959999993</v>
      </c>
      <c r="I149" s="1">
        <f t="shared" si="24"/>
        <v>4614599.8079999993</v>
      </c>
      <c r="J149" s="1">
        <f t="shared" si="25"/>
        <v>2307299.9039999996</v>
      </c>
      <c r="K149" s="1">
        <f t="shared" si="26"/>
        <v>2050933.2479999997</v>
      </c>
      <c r="L149" s="1">
        <f t="shared" si="27"/>
        <v>1538199.9359999998</v>
      </c>
      <c r="M149" s="1">
        <f t="shared" si="28"/>
        <v>1025466.6239999998</v>
      </c>
      <c r="N149" s="1">
        <f t="shared" si="29"/>
        <v>512733.31199999992</v>
      </c>
    </row>
    <row r="150" spans="1:14" x14ac:dyDescent="0.35">
      <c r="A150" t="s">
        <v>164</v>
      </c>
      <c r="B150" t="s">
        <v>2</v>
      </c>
      <c r="C150" t="s">
        <v>1</v>
      </c>
      <c r="D150" s="1">
        <v>389800.31999999995</v>
      </c>
      <c r="E150" s="1">
        <f t="shared" si="20"/>
        <v>428780.35199999996</v>
      </c>
      <c r="F150" s="1">
        <f t="shared" si="21"/>
        <v>467760.3839999999</v>
      </c>
      <c r="G150" s="1">
        <f t="shared" si="22"/>
        <v>545720.44799999986</v>
      </c>
      <c r="H150" s="1">
        <f t="shared" si="23"/>
        <v>623680.51199999999</v>
      </c>
      <c r="I150" s="1">
        <f t="shared" si="24"/>
        <v>701640.57599999988</v>
      </c>
      <c r="J150" s="1">
        <f t="shared" si="25"/>
        <v>350820.28799999994</v>
      </c>
      <c r="K150" s="1">
        <f t="shared" si="26"/>
        <v>311840.25599999999</v>
      </c>
      <c r="L150" s="1">
        <f t="shared" si="27"/>
        <v>233880.19199999995</v>
      </c>
      <c r="M150" s="1">
        <f t="shared" si="28"/>
        <v>155920.128</v>
      </c>
      <c r="N150" s="1">
        <f t="shared" si="29"/>
        <v>77960.063999999998</v>
      </c>
    </row>
    <row r="151" spans="1:14" x14ac:dyDescent="0.35">
      <c r="A151" t="s">
        <v>165</v>
      </c>
      <c r="B151" t="s">
        <v>2</v>
      </c>
      <c r="C151" t="s">
        <v>1</v>
      </c>
      <c r="D151" s="1">
        <v>676777.92</v>
      </c>
      <c r="E151" s="1">
        <f t="shared" si="20"/>
        <v>744455.71200000006</v>
      </c>
      <c r="F151" s="1">
        <f t="shared" si="21"/>
        <v>812133.50400000007</v>
      </c>
      <c r="G151" s="1">
        <f t="shared" si="22"/>
        <v>947489.08799999999</v>
      </c>
      <c r="H151" s="1">
        <f t="shared" si="23"/>
        <v>1082844.672</v>
      </c>
      <c r="I151" s="1">
        <f t="shared" si="24"/>
        <v>1218200.2560000001</v>
      </c>
      <c r="J151" s="1">
        <f t="shared" si="25"/>
        <v>609100.12800000003</v>
      </c>
      <c r="K151" s="1">
        <f t="shared" si="26"/>
        <v>541422.33600000001</v>
      </c>
      <c r="L151" s="1">
        <f t="shared" si="27"/>
        <v>406066.75200000004</v>
      </c>
      <c r="M151" s="1">
        <f t="shared" si="28"/>
        <v>270711.16800000001</v>
      </c>
      <c r="N151" s="1">
        <f t="shared" si="29"/>
        <v>135355.584</v>
      </c>
    </row>
    <row r="152" spans="1:14" x14ac:dyDescent="0.35">
      <c r="A152" t="s">
        <v>166</v>
      </c>
      <c r="B152" t="s">
        <v>2</v>
      </c>
      <c r="C152" t="s">
        <v>1</v>
      </c>
      <c r="D152" s="1">
        <v>458552.64</v>
      </c>
      <c r="E152" s="1">
        <f t="shared" si="20"/>
        <v>504407.90400000004</v>
      </c>
      <c r="F152" s="1">
        <f t="shared" si="21"/>
        <v>550263.16799999995</v>
      </c>
      <c r="G152" s="1">
        <f t="shared" si="22"/>
        <v>641973.696</v>
      </c>
      <c r="H152" s="1">
        <f t="shared" si="23"/>
        <v>733684.22400000005</v>
      </c>
      <c r="I152" s="1">
        <f t="shared" si="24"/>
        <v>825394.75200000009</v>
      </c>
      <c r="J152" s="1">
        <f t="shared" si="25"/>
        <v>412697.37600000005</v>
      </c>
      <c r="K152" s="1">
        <f t="shared" si="26"/>
        <v>366842.11200000002</v>
      </c>
      <c r="L152" s="1">
        <f t="shared" si="27"/>
        <v>275131.58399999997</v>
      </c>
      <c r="M152" s="1">
        <f t="shared" si="28"/>
        <v>183421.05600000001</v>
      </c>
      <c r="N152" s="1">
        <f t="shared" si="29"/>
        <v>91710.528000000006</v>
      </c>
    </row>
    <row r="153" spans="1:14" x14ac:dyDescent="0.35">
      <c r="A153" t="s">
        <v>167</v>
      </c>
      <c r="B153" t="s">
        <v>2</v>
      </c>
      <c r="C153" t="s">
        <v>1</v>
      </c>
      <c r="D153" s="1">
        <v>1093223.04</v>
      </c>
      <c r="E153" s="1">
        <f t="shared" si="20"/>
        <v>1202545.344</v>
      </c>
      <c r="F153" s="1">
        <f t="shared" si="21"/>
        <v>1311867.648</v>
      </c>
      <c r="G153" s="1">
        <f t="shared" si="22"/>
        <v>1530512.2560000001</v>
      </c>
      <c r="H153" s="1">
        <f t="shared" si="23"/>
        <v>1749156.8640000001</v>
      </c>
      <c r="I153" s="1">
        <f t="shared" si="24"/>
        <v>1967801.4720000001</v>
      </c>
      <c r="J153" s="1">
        <f t="shared" si="25"/>
        <v>983900.73600000003</v>
      </c>
      <c r="K153" s="1">
        <f t="shared" si="26"/>
        <v>874578.43200000003</v>
      </c>
      <c r="L153" s="1">
        <f t="shared" si="27"/>
        <v>655933.82400000002</v>
      </c>
      <c r="M153" s="1">
        <f t="shared" si="28"/>
        <v>437289.21600000001</v>
      </c>
      <c r="N153" s="1">
        <f t="shared" si="29"/>
        <v>218644.60800000001</v>
      </c>
    </row>
    <row r="154" spans="1:14" x14ac:dyDescent="0.35">
      <c r="A154" t="s">
        <v>168</v>
      </c>
      <c r="B154" t="s">
        <v>2</v>
      </c>
      <c r="C154" t="s">
        <v>1</v>
      </c>
      <c r="D154" s="1">
        <v>780736.32000000007</v>
      </c>
      <c r="E154" s="1">
        <f t="shared" si="20"/>
        <v>858809.95200000016</v>
      </c>
      <c r="F154" s="1">
        <f t="shared" si="21"/>
        <v>936883.58400000003</v>
      </c>
      <c r="G154" s="1">
        <f t="shared" si="22"/>
        <v>1093030.848</v>
      </c>
      <c r="H154" s="1">
        <f t="shared" si="23"/>
        <v>1249178.1120000002</v>
      </c>
      <c r="I154" s="1">
        <f t="shared" si="24"/>
        <v>1405325.3760000002</v>
      </c>
      <c r="J154" s="1">
        <f t="shared" si="25"/>
        <v>702662.68800000008</v>
      </c>
      <c r="K154" s="1">
        <f t="shared" si="26"/>
        <v>624589.0560000001</v>
      </c>
      <c r="L154" s="1">
        <f t="shared" si="27"/>
        <v>468441.79200000002</v>
      </c>
      <c r="M154" s="1">
        <f t="shared" si="28"/>
        <v>312294.52800000005</v>
      </c>
      <c r="N154" s="1">
        <f t="shared" si="29"/>
        <v>156147.26400000002</v>
      </c>
    </row>
    <row r="155" spans="1:14" x14ac:dyDescent="0.35">
      <c r="A155" t="s">
        <v>169</v>
      </c>
      <c r="B155" t="s">
        <v>2</v>
      </c>
      <c r="C155" t="s">
        <v>1</v>
      </c>
      <c r="D155" s="1">
        <v>4346771.5199999996</v>
      </c>
      <c r="E155" s="1">
        <f t="shared" si="20"/>
        <v>4781448.6720000003</v>
      </c>
      <c r="F155" s="1">
        <f t="shared" si="21"/>
        <v>5216125.8239999991</v>
      </c>
      <c r="G155" s="1">
        <f t="shared" si="22"/>
        <v>6085480.1279999986</v>
      </c>
      <c r="H155" s="1">
        <f t="shared" si="23"/>
        <v>6954834.432</v>
      </c>
      <c r="I155" s="1">
        <f t="shared" si="24"/>
        <v>7824188.7359999996</v>
      </c>
      <c r="J155" s="1">
        <f t="shared" si="25"/>
        <v>3912094.3679999998</v>
      </c>
      <c r="K155" s="1">
        <f t="shared" si="26"/>
        <v>3477417.216</v>
      </c>
      <c r="L155" s="1">
        <f t="shared" si="27"/>
        <v>2608062.9119999995</v>
      </c>
      <c r="M155" s="1">
        <f t="shared" si="28"/>
        <v>1738708.608</v>
      </c>
      <c r="N155" s="1">
        <f t="shared" si="29"/>
        <v>869354.304</v>
      </c>
    </row>
    <row r="156" spans="1:14" x14ac:dyDescent="0.35">
      <c r="A156" t="s">
        <v>170</v>
      </c>
      <c r="B156" t="s">
        <v>2</v>
      </c>
      <c r="C156" t="s">
        <v>1</v>
      </c>
      <c r="D156" s="1">
        <v>6289483.2000000002</v>
      </c>
      <c r="E156" s="1">
        <f t="shared" si="20"/>
        <v>6918431.5200000005</v>
      </c>
      <c r="F156" s="1">
        <f t="shared" si="21"/>
        <v>7547379.8399999999</v>
      </c>
      <c r="G156" s="1">
        <f t="shared" si="22"/>
        <v>8805276.4800000004</v>
      </c>
      <c r="H156" s="1">
        <f t="shared" si="23"/>
        <v>10063173.120000001</v>
      </c>
      <c r="I156" s="1">
        <f t="shared" si="24"/>
        <v>11321069.76</v>
      </c>
      <c r="J156" s="1">
        <f t="shared" si="25"/>
        <v>5660534.8799999999</v>
      </c>
      <c r="K156" s="1">
        <f t="shared" si="26"/>
        <v>5031586.5600000005</v>
      </c>
      <c r="L156" s="1">
        <f t="shared" si="27"/>
        <v>3773689.92</v>
      </c>
      <c r="M156" s="1">
        <f t="shared" si="28"/>
        <v>2515793.2800000003</v>
      </c>
      <c r="N156" s="1">
        <f t="shared" si="29"/>
        <v>1257896.6400000001</v>
      </c>
    </row>
    <row r="157" spans="1:14" x14ac:dyDescent="0.35">
      <c r="A157" t="s">
        <v>171</v>
      </c>
      <c r="B157" t="s">
        <v>2</v>
      </c>
      <c r="C157" t="s">
        <v>1</v>
      </c>
      <c r="D157" s="1">
        <v>3752374.0799999996</v>
      </c>
      <c r="E157" s="1">
        <f t="shared" si="20"/>
        <v>4127611.4879999999</v>
      </c>
      <c r="F157" s="1">
        <f t="shared" si="21"/>
        <v>4502848.8959999997</v>
      </c>
      <c r="G157" s="1">
        <f t="shared" si="22"/>
        <v>5253323.7119999994</v>
      </c>
      <c r="H157" s="1">
        <f t="shared" si="23"/>
        <v>6003798.5279999999</v>
      </c>
      <c r="I157" s="1">
        <f t="shared" si="24"/>
        <v>6754273.3439999996</v>
      </c>
      <c r="J157" s="1">
        <f t="shared" si="25"/>
        <v>3377136.6719999998</v>
      </c>
      <c r="K157" s="1">
        <f t="shared" si="26"/>
        <v>3001899.264</v>
      </c>
      <c r="L157" s="1">
        <f t="shared" si="27"/>
        <v>2251424.4479999999</v>
      </c>
      <c r="M157" s="1">
        <f t="shared" si="28"/>
        <v>1500949.632</v>
      </c>
      <c r="N157" s="1">
        <f t="shared" si="29"/>
        <v>750474.81599999999</v>
      </c>
    </row>
    <row r="158" spans="1:14" x14ac:dyDescent="0.35">
      <c r="A158" t="s">
        <v>172</v>
      </c>
      <c r="B158" t="s">
        <v>2</v>
      </c>
      <c r="C158" t="s">
        <v>1</v>
      </c>
      <c r="D158" s="1">
        <v>38971033.920000002</v>
      </c>
      <c r="E158" s="1">
        <f t="shared" si="20"/>
        <v>42868137.312000006</v>
      </c>
      <c r="F158" s="1">
        <f t="shared" si="21"/>
        <v>46765240.704000004</v>
      </c>
      <c r="G158" s="1">
        <f t="shared" si="22"/>
        <v>54559447.487999998</v>
      </c>
      <c r="H158" s="1">
        <f t="shared" si="23"/>
        <v>62353654.272000007</v>
      </c>
      <c r="I158" s="1">
        <f t="shared" si="24"/>
        <v>70147861.056000009</v>
      </c>
      <c r="J158" s="1">
        <f t="shared" si="25"/>
        <v>35073930.528000005</v>
      </c>
      <c r="K158" s="1">
        <f t="shared" si="26"/>
        <v>31176827.136000004</v>
      </c>
      <c r="L158" s="1">
        <f t="shared" si="27"/>
        <v>23382620.352000002</v>
      </c>
      <c r="M158" s="1">
        <f t="shared" si="28"/>
        <v>15588413.568000002</v>
      </c>
      <c r="N158" s="1">
        <f t="shared" si="29"/>
        <v>7794206.7840000009</v>
      </c>
    </row>
    <row r="159" spans="1:14" x14ac:dyDescent="0.35">
      <c r="A159" t="s">
        <v>173</v>
      </c>
      <c r="B159" t="s">
        <v>2</v>
      </c>
      <c r="C159" t="s">
        <v>1</v>
      </c>
      <c r="D159" s="1">
        <v>1967609.2799999998</v>
      </c>
      <c r="E159" s="1">
        <f t="shared" si="20"/>
        <v>2164370.2080000001</v>
      </c>
      <c r="F159" s="1">
        <f t="shared" si="21"/>
        <v>2361131.1359999995</v>
      </c>
      <c r="G159" s="1">
        <f t="shared" si="22"/>
        <v>2754652.9919999996</v>
      </c>
      <c r="H159" s="1">
        <f t="shared" si="23"/>
        <v>3148174.8479999998</v>
      </c>
      <c r="I159" s="1">
        <f t="shared" si="24"/>
        <v>3541696.7039999999</v>
      </c>
      <c r="J159" s="1">
        <f t="shared" si="25"/>
        <v>1770848.352</v>
      </c>
      <c r="K159" s="1">
        <f t="shared" si="26"/>
        <v>1574087.4239999999</v>
      </c>
      <c r="L159" s="1">
        <f t="shared" si="27"/>
        <v>1180565.5679999997</v>
      </c>
      <c r="M159" s="1">
        <f t="shared" si="28"/>
        <v>787043.71199999994</v>
      </c>
      <c r="N159" s="1">
        <f t="shared" si="29"/>
        <v>393521.85599999997</v>
      </c>
    </row>
    <row r="160" spans="1:14" x14ac:dyDescent="0.35">
      <c r="A160" t="s">
        <v>174</v>
      </c>
      <c r="B160" t="s">
        <v>2</v>
      </c>
      <c r="C160" t="s">
        <v>1</v>
      </c>
      <c r="D160" s="1">
        <v>2432976</v>
      </c>
      <c r="E160" s="1">
        <f t="shared" si="20"/>
        <v>2676273.6</v>
      </c>
      <c r="F160" s="1">
        <f t="shared" si="21"/>
        <v>2919571.1999999997</v>
      </c>
      <c r="G160" s="1">
        <f t="shared" si="22"/>
        <v>3406166.4</v>
      </c>
      <c r="H160" s="1">
        <f t="shared" si="23"/>
        <v>3892761.6</v>
      </c>
      <c r="I160" s="1">
        <f t="shared" si="24"/>
        <v>4379356.8</v>
      </c>
      <c r="J160" s="1">
        <f t="shared" si="25"/>
        <v>2189678.4</v>
      </c>
      <c r="K160" s="1">
        <f t="shared" si="26"/>
        <v>1946380.8</v>
      </c>
      <c r="L160" s="1">
        <f t="shared" si="27"/>
        <v>1459785.5999999999</v>
      </c>
      <c r="M160" s="1">
        <f t="shared" si="28"/>
        <v>973190.4</v>
      </c>
      <c r="N160" s="1">
        <f t="shared" si="29"/>
        <v>486595.2</v>
      </c>
    </row>
  </sheetData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prices</vt:lpstr>
      <vt:lpstr>demands</vt:lpstr>
      <vt:lpstr>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</dc:creator>
  <cp:lastModifiedBy>Linsel, Oliver</cp:lastModifiedBy>
  <dcterms:created xsi:type="dcterms:W3CDTF">2015-06-05T18:19:34Z</dcterms:created>
  <dcterms:modified xsi:type="dcterms:W3CDTF">2026-07-16T12:25:03Z</dcterms:modified>
</cp:coreProperties>
</file>