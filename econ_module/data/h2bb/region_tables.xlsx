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er\Documents\RUB\01_Projekte\IGC_NRW\Arbeitspakete\IGC_model\econ_module\data\h2bb\"/>
    </mc:Choice>
  </mc:AlternateContent>
  <xr:revisionPtr revIDLastSave="0" documentId="13_ncr:1_{4B93CD7B-7A6F-4454-BF77-68867C344EF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rices" sheetId="1" r:id="rId1"/>
    <sheet name="demands" sheetId="2" r:id="rId2"/>
    <sheet name="suppl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2" i="1" s="1"/>
  <c r="L2" i="1" s="1"/>
  <c r="G2" i="3"/>
  <c r="F2" i="3" s="1"/>
  <c r="E2" i="3" s="1"/>
  <c r="D2" i="3" s="1"/>
  <c r="I6" i="3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G6" i="3"/>
  <c r="F6" i="3" s="1"/>
  <c r="E6" i="3" s="1"/>
  <c r="D6" i="3" s="1"/>
  <c r="I5" i="3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G5" i="3"/>
  <c r="F5" i="3" s="1"/>
  <c r="E5" i="3" s="1"/>
  <c r="D5" i="3" s="1"/>
  <c r="I4" i="3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G4" i="3"/>
  <c r="F4" i="3" s="1"/>
  <c r="E4" i="3" s="1"/>
  <c r="D4" i="3" s="1"/>
  <c r="I3" i="3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G3" i="3"/>
  <c r="F3" i="3" s="1"/>
  <c r="E3" i="3" s="1"/>
  <c r="D3" i="3" s="1"/>
  <c r="I2" i="3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I6" i="2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G6" i="2"/>
  <c r="F6" i="2" s="1"/>
  <c r="E6" i="2" s="1"/>
  <c r="D6" i="2" s="1"/>
  <c r="I5" i="2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G5" i="2"/>
  <c r="F5" i="2" s="1"/>
  <c r="E5" i="2" s="1"/>
  <c r="D5" i="2" s="1"/>
  <c r="I4" i="2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G4" i="2"/>
  <c r="F4" i="2" s="1"/>
  <c r="E4" i="2" s="1"/>
  <c r="D4" i="2" s="1"/>
  <c r="I3" i="2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G3" i="2"/>
  <c r="F3" i="2" s="1"/>
  <c r="E3" i="2" s="1"/>
  <c r="D3" i="2" s="1"/>
  <c r="I2" i="2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G2" i="2"/>
  <c r="F2" i="2" s="1"/>
  <c r="E2" i="2" s="1"/>
  <c r="D2" i="2" s="1"/>
  <c r="J6" i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I3" i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I4" i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I5" i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I6" i="1"/>
  <c r="I2" i="1"/>
  <c r="G3" i="1"/>
  <c r="F3" i="1" s="1"/>
  <c r="E3" i="1" s="1"/>
  <c r="D3" i="1" s="1"/>
  <c r="G4" i="1"/>
  <c r="F4" i="1" s="1"/>
  <c r="E4" i="1" s="1"/>
  <c r="D4" i="1" s="1"/>
  <c r="G5" i="1"/>
  <c r="F5" i="1" s="1"/>
  <c r="E5" i="1" s="1"/>
  <c r="D5" i="1" s="1"/>
  <c r="G6" i="1"/>
  <c r="F6" i="1" s="1"/>
  <c r="E6" i="1" s="1"/>
  <c r="D6" i="1" s="1"/>
  <c r="G2" i="1"/>
  <c r="F2" i="1" s="1"/>
  <c r="E2" i="1" s="1"/>
  <c r="D2" i="1" s="1"/>
  <c r="M2" i="1" l="1"/>
  <c r="N2" i="1" s="1"/>
  <c r="O2" i="1" s="1"/>
  <c r="P2" i="1" s="1"/>
  <c r="Q2" i="1" s="1"/>
  <c r="R2" i="1" s="1"/>
  <c r="S2" i="1" s="1"/>
  <c r="T2" i="1" s="1"/>
  <c r="U2" i="1" s="1"/>
  <c r="V2" i="1" s="1"/>
  <c r="W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Oliver Linsel</author>
  </authors>
  <commentList>
    <comment ref="A1" authorId="0" shapeId="0" xr:uid="{7422C6E1-6C54-4193-96D6-640C871069B4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Regional prices per time step in €/MWh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Oliver Linsel</author>
  </authors>
  <commentList>
    <comment ref="A1" authorId="0" shapeId="0" xr:uid="{81D7284F-D931-4D0A-8404-24D48A150E00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Regional prices per time step in TWh/a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Oliver Linsel</author>
  </authors>
  <commentList>
    <comment ref="A1" authorId="0" shapeId="0" xr:uid="{DE065DB3-ED42-45B9-9D50-79F6FD74AA3A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Regional prices per time step in TWh/a</t>
        </r>
      </text>
    </comment>
  </commentList>
</comments>
</file>

<file path=xl/sharedStrings.xml><?xml version="1.0" encoding="utf-8"?>
<sst xmlns="http://schemas.openxmlformats.org/spreadsheetml/2006/main" count="54" uniqueCount="10">
  <si>
    <t>scenario</t>
  </si>
  <si>
    <t>Base</t>
  </si>
  <si>
    <t>h2</t>
  </si>
  <si>
    <t>region</t>
  </si>
  <si>
    <t>EU-DEU</t>
  </si>
  <si>
    <t>EU-FIN</t>
  </si>
  <si>
    <t>EU-FRA</t>
  </si>
  <si>
    <t>EU-NDL</t>
  </si>
  <si>
    <t>EU-DNK</t>
  </si>
  <si>
    <t>commodity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</si>
</sst>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workbookViewId="0">
      <selection activeCell="F13" sqref="F13"/>
    </sheetView>
  </sheetViews>
  <sheetFormatPr baseColWidth="10" defaultColWidth="8.7265625" defaultRowHeight="14.5" x14ac:dyDescent="0.35"/>
  <cols>
    <col min="4" max="23" width="4.81640625" bestFit="1" customWidth="1"/>
  </cols>
  <sheetData>
    <row r="1" spans="1:23" x14ac:dyDescent="0.35">
      <c r="A1" t="s">
        <v>3</v>
      </c>
      <c r="B1" t="s">
        <v>9</v>
      </c>
      <c r="C1" t="s">
        <v>0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</row>
    <row r="2" spans="1:23" x14ac:dyDescent="0.35">
      <c r="A2" t="s">
        <v>4</v>
      </c>
      <c r="B2" t="s">
        <v>2</v>
      </c>
      <c r="C2" t="s">
        <v>1</v>
      </c>
      <c r="D2" s="1">
        <f t="shared" ref="D2:F2" si="0">E2*1.1</f>
        <v>161.05100000000004</v>
      </c>
      <c r="E2" s="1">
        <f t="shared" si="0"/>
        <v>146.41000000000003</v>
      </c>
      <c r="F2" s="1">
        <f t="shared" si="0"/>
        <v>133.10000000000002</v>
      </c>
      <c r="G2" s="1">
        <f>H2*1.1</f>
        <v>121.00000000000001</v>
      </c>
      <c r="H2" s="1">
        <v>110</v>
      </c>
      <c r="I2" s="1">
        <f>H2*0.95</f>
        <v>104.5</v>
      </c>
      <c r="J2" s="1">
        <f t="shared" ref="J2:W2" si="1">I2*0.95</f>
        <v>99.274999999999991</v>
      </c>
      <c r="K2" s="1">
        <f t="shared" si="1"/>
        <v>94.311249999999987</v>
      </c>
      <c r="L2" s="1">
        <f t="shared" si="1"/>
        <v>89.595687499999983</v>
      </c>
      <c r="M2" s="1">
        <f t="shared" si="1"/>
        <v>85.115903124999974</v>
      </c>
      <c r="N2" s="1">
        <f t="shared" si="1"/>
        <v>80.860107968749972</v>
      </c>
      <c r="O2" s="1">
        <f t="shared" si="1"/>
        <v>76.817102570312471</v>
      </c>
      <c r="P2" s="1">
        <f t="shared" si="1"/>
        <v>72.976247441796843</v>
      </c>
      <c r="Q2" s="1">
        <f t="shared" si="1"/>
        <v>69.327435069706993</v>
      </c>
      <c r="R2" s="1">
        <f t="shared" si="1"/>
        <v>65.861063316221646</v>
      </c>
      <c r="S2" s="1">
        <f t="shared" si="1"/>
        <v>62.568010150410558</v>
      </c>
      <c r="T2" s="1">
        <f t="shared" si="1"/>
        <v>59.439609642890026</v>
      </c>
      <c r="U2" s="1">
        <f t="shared" si="1"/>
        <v>56.467629160745524</v>
      </c>
      <c r="V2" s="1">
        <f t="shared" si="1"/>
        <v>53.644247702708242</v>
      </c>
      <c r="W2" s="1">
        <f t="shared" si="1"/>
        <v>50.962035317572827</v>
      </c>
    </row>
    <row r="3" spans="1:23" x14ac:dyDescent="0.35">
      <c r="A3" t="s">
        <v>5</v>
      </c>
      <c r="B3" t="s">
        <v>2</v>
      </c>
      <c r="C3" t="s">
        <v>1</v>
      </c>
      <c r="D3" s="1">
        <f t="shared" ref="D3:G3" si="2">E3*1.1</f>
        <v>131.76900000000006</v>
      </c>
      <c r="E3" s="1">
        <f t="shared" si="2"/>
        <v>119.79000000000003</v>
      </c>
      <c r="F3" s="1">
        <f t="shared" si="2"/>
        <v>108.90000000000002</v>
      </c>
      <c r="G3" s="1">
        <f t="shared" si="2"/>
        <v>99.000000000000014</v>
      </c>
      <c r="H3" s="1">
        <v>90</v>
      </c>
      <c r="I3" s="1">
        <f t="shared" ref="I3:W6" si="3">H3*0.95</f>
        <v>85.5</v>
      </c>
      <c r="J3" s="1">
        <f t="shared" si="3"/>
        <v>81.224999999999994</v>
      </c>
      <c r="K3" s="1">
        <f t="shared" si="3"/>
        <v>77.163749999999993</v>
      </c>
      <c r="L3" s="1">
        <f t="shared" si="3"/>
        <v>73.305562499999994</v>
      </c>
      <c r="M3" s="1">
        <f t="shared" si="3"/>
        <v>69.640284374999993</v>
      </c>
      <c r="N3" s="1">
        <f t="shared" si="3"/>
        <v>66.158270156249984</v>
      </c>
      <c r="O3" s="1">
        <f t="shared" si="3"/>
        <v>62.850356648437483</v>
      </c>
      <c r="P3" s="1">
        <f t="shared" si="3"/>
        <v>59.707838816015609</v>
      </c>
      <c r="Q3" s="1">
        <f t="shared" si="3"/>
        <v>56.722446875214828</v>
      </c>
      <c r="R3" s="1">
        <f t="shared" si="3"/>
        <v>53.886324531454086</v>
      </c>
      <c r="S3" s="1">
        <f t="shared" si="3"/>
        <v>51.192008304881377</v>
      </c>
      <c r="T3" s="1">
        <f t="shared" si="3"/>
        <v>48.632407889637307</v>
      </c>
      <c r="U3" s="1">
        <f t="shared" si="3"/>
        <v>46.200787495155438</v>
      </c>
      <c r="V3" s="1">
        <f t="shared" si="3"/>
        <v>43.890748120397667</v>
      </c>
      <c r="W3" s="1">
        <f t="shared" si="3"/>
        <v>41.696210714377784</v>
      </c>
    </row>
    <row r="4" spans="1:23" x14ac:dyDescent="0.35">
      <c r="A4" t="s">
        <v>6</v>
      </c>
      <c r="B4" t="s">
        <v>2</v>
      </c>
      <c r="C4" t="s">
        <v>1</v>
      </c>
      <c r="D4" s="1">
        <f t="shared" ref="D4:G4" si="4">E4*1.1</f>
        <v>124.44850000000005</v>
      </c>
      <c r="E4" s="1">
        <f t="shared" si="4"/>
        <v>113.13500000000003</v>
      </c>
      <c r="F4" s="1">
        <f t="shared" si="4"/>
        <v>102.85000000000002</v>
      </c>
      <c r="G4" s="1">
        <f t="shared" si="4"/>
        <v>93.500000000000014</v>
      </c>
      <c r="H4" s="1">
        <v>85</v>
      </c>
      <c r="I4" s="1">
        <f t="shared" si="3"/>
        <v>80.75</v>
      </c>
      <c r="J4" s="1">
        <f t="shared" si="3"/>
        <v>76.712499999999991</v>
      </c>
      <c r="K4" s="1">
        <f t="shared" si="3"/>
        <v>72.876874999999984</v>
      </c>
      <c r="L4" s="1">
        <f t="shared" si="3"/>
        <v>69.233031249999982</v>
      </c>
      <c r="M4" s="1">
        <f t="shared" si="3"/>
        <v>65.771379687499973</v>
      </c>
      <c r="N4" s="1">
        <f t="shared" si="3"/>
        <v>62.482810703124969</v>
      </c>
      <c r="O4" s="1">
        <f t="shared" si="3"/>
        <v>59.358670167968718</v>
      </c>
      <c r="P4" s="1">
        <f t="shared" si="3"/>
        <v>56.39073665957028</v>
      </c>
      <c r="Q4" s="1">
        <f t="shared" si="3"/>
        <v>53.571199826591766</v>
      </c>
      <c r="R4" s="1">
        <f t="shared" si="3"/>
        <v>50.892639835262173</v>
      </c>
      <c r="S4" s="1">
        <f t="shared" si="3"/>
        <v>48.348007843499062</v>
      </c>
      <c r="T4" s="1">
        <f t="shared" si="3"/>
        <v>45.930607451324107</v>
      </c>
      <c r="U4" s="1">
        <f t="shared" si="3"/>
        <v>43.634077078757898</v>
      </c>
      <c r="V4" s="1">
        <f t="shared" si="3"/>
        <v>41.452373224820001</v>
      </c>
      <c r="W4" s="1">
        <f t="shared" si="3"/>
        <v>39.379754563578999</v>
      </c>
    </row>
    <row r="5" spans="1:23" x14ac:dyDescent="0.35">
      <c r="A5" t="s">
        <v>7</v>
      </c>
      <c r="B5" t="s">
        <v>2</v>
      </c>
      <c r="C5" t="s">
        <v>1</v>
      </c>
      <c r="D5" s="1">
        <f t="shared" ref="D5:G5" si="5">E5*1.1</f>
        <v>146.41000000000008</v>
      </c>
      <c r="E5" s="1">
        <f t="shared" si="5"/>
        <v>133.10000000000005</v>
      </c>
      <c r="F5" s="1">
        <f t="shared" si="5"/>
        <v>121.00000000000003</v>
      </c>
      <c r="G5" s="1">
        <f t="shared" si="5"/>
        <v>110.00000000000001</v>
      </c>
      <c r="H5" s="1">
        <v>100</v>
      </c>
      <c r="I5" s="1">
        <f t="shared" si="3"/>
        <v>95</v>
      </c>
      <c r="J5" s="1">
        <f t="shared" si="3"/>
        <v>90.25</v>
      </c>
      <c r="K5" s="1">
        <f t="shared" si="3"/>
        <v>85.737499999999997</v>
      </c>
      <c r="L5" s="1">
        <f t="shared" si="3"/>
        <v>81.450624999999988</v>
      </c>
      <c r="M5" s="1">
        <f t="shared" si="3"/>
        <v>77.378093749999991</v>
      </c>
      <c r="N5" s="1">
        <f t="shared" si="3"/>
        <v>73.509189062499985</v>
      </c>
      <c r="O5" s="1">
        <f t="shared" si="3"/>
        <v>69.833729609374984</v>
      </c>
      <c r="P5" s="1">
        <f t="shared" si="3"/>
        <v>66.342043128906226</v>
      </c>
      <c r="Q5" s="1">
        <f t="shared" si="3"/>
        <v>63.024940972460911</v>
      </c>
      <c r="R5" s="1">
        <f t="shared" si="3"/>
        <v>59.873693923837862</v>
      </c>
      <c r="S5" s="1">
        <f t="shared" si="3"/>
        <v>56.880009227645964</v>
      </c>
      <c r="T5" s="1">
        <f t="shared" si="3"/>
        <v>54.036008766263663</v>
      </c>
      <c r="U5" s="1">
        <f t="shared" si="3"/>
        <v>51.334208327950478</v>
      </c>
      <c r="V5" s="1">
        <f t="shared" si="3"/>
        <v>48.767497911552951</v>
      </c>
      <c r="W5" s="1">
        <f t="shared" si="3"/>
        <v>46.329123015975298</v>
      </c>
    </row>
    <row r="6" spans="1:23" x14ac:dyDescent="0.35">
      <c r="A6" t="s">
        <v>8</v>
      </c>
      <c r="B6" t="s">
        <v>2</v>
      </c>
      <c r="C6" t="s">
        <v>1</v>
      </c>
      <c r="D6" s="1">
        <f t="shared" ref="D6:G6" si="6">E6*1.1</f>
        <v>131.76900000000006</v>
      </c>
      <c r="E6" s="1">
        <f t="shared" si="6"/>
        <v>119.79000000000003</v>
      </c>
      <c r="F6" s="1">
        <f t="shared" si="6"/>
        <v>108.90000000000002</v>
      </c>
      <c r="G6" s="1">
        <f t="shared" si="6"/>
        <v>99.000000000000014</v>
      </c>
      <c r="H6" s="1">
        <v>90</v>
      </c>
      <c r="I6" s="1">
        <f t="shared" si="3"/>
        <v>85.5</v>
      </c>
      <c r="J6" s="1">
        <f t="shared" si="3"/>
        <v>81.224999999999994</v>
      </c>
      <c r="K6" s="1">
        <f t="shared" si="3"/>
        <v>77.163749999999993</v>
      </c>
      <c r="L6" s="1">
        <f t="shared" si="3"/>
        <v>73.305562499999994</v>
      </c>
      <c r="M6" s="1">
        <f t="shared" si="3"/>
        <v>69.640284374999993</v>
      </c>
      <c r="N6" s="1">
        <f t="shared" si="3"/>
        <v>66.158270156249984</v>
      </c>
      <c r="O6" s="1">
        <f t="shared" si="3"/>
        <v>62.850356648437483</v>
      </c>
      <c r="P6" s="1">
        <f t="shared" si="3"/>
        <v>59.707838816015609</v>
      </c>
      <c r="Q6" s="1">
        <f t="shared" si="3"/>
        <v>56.722446875214828</v>
      </c>
      <c r="R6" s="1">
        <f t="shared" si="3"/>
        <v>53.886324531454086</v>
      </c>
      <c r="S6" s="1">
        <f t="shared" si="3"/>
        <v>51.192008304881377</v>
      </c>
      <c r="T6" s="1">
        <f t="shared" si="3"/>
        <v>48.632407889637307</v>
      </c>
      <c r="U6" s="1">
        <f t="shared" si="3"/>
        <v>46.200787495155438</v>
      </c>
      <c r="V6" s="1">
        <f t="shared" si="3"/>
        <v>43.890748120397667</v>
      </c>
      <c r="W6" s="1">
        <f t="shared" si="3"/>
        <v>41.696210714377784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8A25-5F18-4F5A-891E-A45BA706ED91}">
  <dimension ref="A1:W7"/>
  <sheetViews>
    <sheetView workbookViewId="0">
      <selection activeCell="H4" sqref="H4"/>
    </sheetView>
  </sheetViews>
  <sheetFormatPr baseColWidth="10" defaultRowHeight="14.5" x14ac:dyDescent="0.35"/>
  <cols>
    <col min="4" max="23" width="4.81640625" bestFit="1" customWidth="1"/>
  </cols>
  <sheetData>
    <row r="1" spans="1:23" x14ac:dyDescent="0.35">
      <c r="A1" t="s">
        <v>3</v>
      </c>
      <c r="B1" t="s">
        <v>9</v>
      </c>
      <c r="C1" t="s">
        <v>0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</row>
    <row r="2" spans="1:23" x14ac:dyDescent="0.35">
      <c r="A2" t="s">
        <v>4</v>
      </c>
      <c r="B2" t="s">
        <v>2</v>
      </c>
      <c r="C2" t="s">
        <v>1</v>
      </c>
      <c r="D2" s="1">
        <f t="shared" ref="D2:G6" si="0">E2*0.8</f>
        <v>20.480000000000004</v>
      </c>
      <c r="E2" s="1">
        <f t="shared" si="0"/>
        <v>25.6</v>
      </c>
      <c r="F2" s="1">
        <f t="shared" si="0"/>
        <v>32</v>
      </c>
      <c r="G2" s="1">
        <f t="shared" si="0"/>
        <v>40</v>
      </c>
      <c r="H2" s="1">
        <v>50</v>
      </c>
      <c r="I2" s="1">
        <f t="shared" ref="I2:O6" si="1">H2*1.1</f>
        <v>55.000000000000007</v>
      </c>
      <c r="J2" s="1">
        <f t="shared" si="1"/>
        <v>60.500000000000014</v>
      </c>
      <c r="K2" s="1">
        <f t="shared" si="1"/>
        <v>66.550000000000026</v>
      </c>
      <c r="L2" s="1">
        <f t="shared" si="1"/>
        <v>73.205000000000041</v>
      </c>
      <c r="M2" s="1">
        <f t="shared" si="1"/>
        <v>80.525500000000051</v>
      </c>
      <c r="N2" s="1">
        <f t="shared" si="1"/>
        <v>88.578050000000061</v>
      </c>
      <c r="O2" s="1">
        <f t="shared" si="1"/>
        <v>97.435855000000075</v>
      </c>
      <c r="P2" s="1">
        <f t="shared" ref="P2:W6" si="2">O2*1.05</f>
        <v>102.30764775000009</v>
      </c>
      <c r="Q2" s="1">
        <f t="shared" si="2"/>
        <v>107.42303013750009</v>
      </c>
      <c r="R2" s="1">
        <f t="shared" si="2"/>
        <v>112.7941816443751</v>
      </c>
      <c r="S2" s="1">
        <f t="shared" si="2"/>
        <v>118.43389072659386</v>
      </c>
      <c r="T2" s="1">
        <f t="shared" si="2"/>
        <v>124.35558526292355</v>
      </c>
      <c r="U2" s="1">
        <f t="shared" si="2"/>
        <v>130.57336452606972</v>
      </c>
      <c r="V2" s="1">
        <f t="shared" si="2"/>
        <v>137.10203275237322</v>
      </c>
      <c r="W2" s="1">
        <f t="shared" si="2"/>
        <v>143.95713438999189</v>
      </c>
    </row>
    <row r="3" spans="1:23" x14ac:dyDescent="0.35">
      <c r="A3" t="s">
        <v>5</v>
      </c>
      <c r="B3" t="s">
        <v>2</v>
      </c>
      <c r="C3" t="s">
        <v>1</v>
      </c>
      <c r="D3" s="1">
        <f t="shared" si="0"/>
        <v>4.096000000000001</v>
      </c>
      <c r="E3" s="1">
        <f t="shared" si="0"/>
        <v>5.120000000000001</v>
      </c>
      <c r="F3" s="1">
        <f t="shared" si="0"/>
        <v>6.4</v>
      </c>
      <c r="G3" s="1">
        <f t="shared" si="0"/>
        <v>8</v>
      </c>
      <c r="H3" s="1">
        <v>10</v>
      </c>
      <c r="I3" s="1">
        <f t="shared" si="1"/>
        <v>11</v>
      </c>
      <c r="J3" s="1">
        <f t="shared" si="1"/>
        <v>12.100000000000001</v>
      </c>
      <c r="K3" s="1">
        <f t="shared" si="1"/>
        <v>13.310000000000002</v>
      </c>
      <c r="L3" s="1">
        <f t="shared" si="1"/>
        <v>14.641000000000004</v>
      </c>
      <c r="M3" s="1">
        <f t="shared" si="1"/>
        <v>16.105100000000004</v>
      </c>
      <c r="N3" s="1">
        <f t="shared" si="1"/>
        <v>17.715610000000005</v>
      </c>
      <c r="O3" s="1">
        <f t="shared" si="1"/>
        <v>19.487171000000007</v>
      </c>
      <c r="P3" s="1">
        <f t="shared" si="2"/>
        <v>20.461529550000009</v>
      </c>
      <c r="Q3" s="1">
        <f t="shared" si="2"/>
        <v>21.484606027500011</v>
      </c>
      <c r="R3" s="1">
        <f t="shared" si="2"/>
        <v>22.558836328875014</v>
      </c>
      <c r="S3" s="1">
        <f t="shared" si="2"/>
        <v>23.686778145318765</v>
      </c>
      <c r="T3" s="1">
        <f t="shared" si="2"/>
        <v>24.871117052584705</v>
      </c>
      <c r="U3" s="1">
        <f t="shared" si="2"/>
        <v>26.11467290521394</v>
      </c>
      <c r="V3" s="1">
        <f t="shared" si="2"/>
        <v>27.420406550474638</v>
      </c>
      <c r="W3" s="1">
        <f t="shared" si="2"/>
        <v>28.791426877998372</v>
      </c>
    </row>
    <row r="4" spans="1:23" x14ac:dyDescent="0.35">
      <c r="A4" t="s">
        <v>6</v>
      </c>
      <c r="B4" t="s">
        <v>2</v>
      </c>
      <c r="C4" t="s">
        <v>1</v>
      </c>
      <c r="D4" s="1">
        <f t="shared" si="0"/>
        <v>14.336000000000002</v>
      </c>
      <c r="E4" s="1">
        <f t="shared" si="0"/>
        <v>17.920000000000002</v>
      </c>
      <c r="F4" s="1">
        <f t="shared" si="0"/>
        <v>22.400000000000002</v>
      </c>
      <c r="G4" s="1">
        <f t="shared" si="0"/>
        <v>28</v>
      </c>
      <c r="H4" s="1">
        <v>35</v>
      </c>
      <c r="I4" s="1">
        <f t="shared" si="1"/>
        <v>38.5</v>
      </c>
      <c r="J4" s="1">
        <f t="shared" si="1"/>
        <v>42.35</v>
      </c>
      <c r="K4" s="1">
        <f t="shared" si="1"/>
        <v>46.585000000000008</v>
      </c>
      <c r="L4" s="1">
        <f t="shared" si="1"/>
        <v>51.243500000000012</v>
      </c>
      <c r="M4" s="1">
        <f t="shared" si="1"/>
        <v>56.367850000000018</v>
      </c>
      <c r="N4" s="1">
        <f t="shared" si="1"/>
        <v>62.004635000000029</v>
      </c>
      <c r="O4" s="1">
        <f t="shared" si="1"/>
        <v>68.205098500000034</v>
      </c>
      <c r="P4" s="1">
        <f t="shared" si="2"/>
        <v>71.615353425000038</v>
      </c>
      <c r="Q4" s="1">
        <f t="shared" si="2"/>
        <v>75.196121096250039</v>
      </c>
      <c r="R4" s="1">
        <f t="shared" si="2"/>
        <v>78.955927151062539</v>
      </c>
      <c r="S4" s="1">
        <f t="shared" si="2"/>
        <v>82.90372350861567</v>
      </c>
      <c r="T4" s="1">
        <f t="shared" si="2"/>
        <v>87.048909684046464</v>
      </c>
      <c r="U4" s="1">
        <f t="shared" si="2"/>
        <v>91.401355168248784</v>
      </c>
      <c r="V4" s="1">
        <f t="shared" si="2"/>
        <v>95.971422926661234</v>
      </c>
      <c r="W4" s="1">
        <f t="shared" si="2"/>
        <v>100.76999407299429</v>
      </c>
    </row>
    <row r="5" spans="1:23" x14ac:dyDescent="0.35">
      <c r="A5" t="s">
        <v>7</v>
      </c>
      <c r="B5" t="s">
        <v>2</v>
      </c>
      <c r="C5" t="s">
        <v>1</v>
      </c>
      <c r="D5" s="1">
        <f t="shared" si="0"/>
        <v>8.1920000000000019</v>
      </c>
      <c r="E5" s="1">
        <f t="shared" si="0"/>
        <v>10.240000000000002</v>
      </c>
      <c r="F5" s="1">
        <f t="shared" si="0"/>
        <v>12.8</v>
      </c>
      <c r="G5" s="1">
        <f t="shared" si="0"/>
        <v>16</v>
      </c>
      <c r="H5" s="1">
        <v>20</v>
      </c>
      <c r="I5" s="1">
        <f t="shared" si="1"/>
        <v>22</v>
      </c>
      <c r="J5" s="1">
        <f t="shared" si="1"/>
        <v>24.200000000000003</v>
      </c>
      <c r="K5" s="1">
        <f t="shared" si="1"/>
        <v>26.620000000000005</v>
      </c>
      <c r="L5" s="1">
        <f t="shared" si="1"/>
        <v>29.282000000000007</v>
      </c>
      <c r="M5" s="1">
        <f t="shared" si="1"/>
        <v>32.210200000000007</v>
      </c>
      <c r="N5" s="1">
        <f t="shared" si="1"/>
        <v>35.43122000000001</v>
      </c>
      <c r="O5" s="1">
        <f t="shared" si="1"/>
        <v>38.974342000000014</v>
      </c>
      <c r="P5" s="1">
        <f t="shared" si="2"/>
        <v>40.923059100000017</v>
      </c>
      <c r="Q5" s="1">
        <f t="shared" si="2"/>
        <v>42.969212055000021</v>
      </c>
      <c r="R5" s="1">
        <f t="shared" si="2"/>
        <v>45.117672657750028</v>
      </c>
      <c r="S5" s="1">
        <f t="shared" si="2"/>
        <v>47.373556290637531</v>
      </c>
      <c r="T5" s="1">
        <f t="shared" si="2"/>
        <v>49.742234105169409</v>
      </c>
      <c r="U5" s="1">
        <f t="shared" si="2"/>
        <v>52.22934581042788</v>
      </c>
      <c r="V5" s="1">
        <f t="shared" si="2"/>
        <v>54.840813100949276</v>
      </c>
      <c r="W5" s="1">
        <f t="shared" si="2"/>
        <v>57.582853755996744</v>
      </c>
    </row>
    <row r="6" spans="1:23" x14ac:dyDescent="0.35">
      <c r="A6" t="s">
        <v>8</v>
      </c>
      <c r="B6" t="s">
        <v>2</v>
      </c>
      <c r="C6" t="s">
        <v>1</v>
      </c>
      <c r="D6" s="1">
        <f t="shared" si="0"/>
        <v>6.1440000000000019</v>
      </c>
      <c r="E6" s="1">
        <f t="shared" si="0"/>
        <v>7.6800000000000015</v>
      </c>
      <c r="F6" s="1">
        <f t="shared" si="0"/>
        <v>9.6000000000000014</v>
      </c>
      <c r="G6" s="1">
        <f t="shared" si="0"/>
        <v>12</v>
      </c>
      <c r="H6" s="1">
        <v>15</v>
      </c>
      <c r="I6" s="1">
        <f t="shared" si="1"/>
        <v>16.5</v>
      </c>
      <c r="J6" s="1">
        <f t="shared" si="1"/>
        <v>18.150000000000002</v>
      </c>
      <c r="K6" s="1">
        <f t="shared" si="1"/>
        <v>19.965000000000003</v>
      </c>
      <c r="L6" s="1">
        <f t="shared" si="1"/>
        <v>21.961500000000004</v>
      </c>
      <c r="M6" s="1">
        <f t="shared" si="1"/>
        <v>24.157650000000007</v>
      </c>
      <c r="N6" s="1">
        <f t="shared" si="1"/>
        <v>26.573415000000011</v>
      </c>
      <c r="O6" s="1">
        <f t="shared" si="1"/>
        <v>29.230756500000016</v>
      </c>
      <c r="P6" s="1">
        <f t="shared" si="2"/>
        <v>30.692294325000017</v>
      </c>
      <c r="Q6" s="1">
        <f t="shared" si="2"/>
        <v>32.226909041250018</v>
      </c>
      <c r="R6" s="1">
        <f t="shared" si="2"/>
        <v>33.838254493312519</v>
      </c>
      <c r="S6" s="1">
        <f t="shared" si="2"/>
        <v>35.530167217978146</v>
      </c>
      <c r="T6" s="1">
        <f t="shared" si="2"/>
        <v>37.306675578877055</v>
      </c>
      <c r="U6" s="1">
        <f t="shared" si="2"/>
        <v>39.172009357820912</v>
      </c>
      <c r="V6" s="1">
        <f t="shared" si="2"/>
        <v>41.130609825711957</v>
      </c>
      <c r="W6" s="1">
        <f t="shared" si="2"/>
        <v>43.187140316997557</v>
      </c>
    </row>
    <row r="7" spans="1:23" x14ac:dyDescent="0.35">
      <c r="D7" s="1"/>
    </row>
  </sheetData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85CA-3E61-4A82-8C62-F7714D6128D6}">
  <dimension ref="A1:W12"/>
  <sheetViews>
    <sheetView tabSelected="1" workbookViewId="0">
      <selection activeCell="C10" sqref="C10"/>
    </sheetView>
  </sheetViews>
  <sheetFormatPr baseColWidth="10" defaultRowHeight="14.5" x14ac:dyDescent="0.35"/>
  <cols>
    <col min="4" max="11" width="4.81640625" bestFit="1" customWidth="1"/>
    <col min="12" max="12" width="8.81640625" bestFit="1" customWidth="1"/>
    <col min="13" max="23" width="4.81640625" bestFit="1" customWidth="1"/>
  </cols>
  <sheetData>
    <row r="1" spans="1:23" x14ac:dyDescent="0.35">
      <c r="A1" t="s">
        <v>3</v>
      </c>
      <c r="B1" t="s">
        <v>9</v>
      </c>
      <c r="C1" t="s">
        <v>0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</row>
    <row r="2" spans="1:23" x14ac:dyDescent="0.35">
      <c r="A2" t="s">
        <v>4</v>
      </c>
      <c r="B2" t="s">
        <v>2</v>
      </c>
      <c r="C2" t="s">
        <v>1</v>
      </c>
      <c r="D2" s="1">
        <f t="shared" ref="D2:G6" si="0">E2*0.8</f>
        <v>10.240000000000002</v>
      </c>
      <c r="E2" s="1">
        <f t="shared" si="0"/>
        <v>12.8</v>
      </c>
      <c r="F2" s="1">
        <f t="shared" ref="F2" si="1">G2*0.8</f>
        <v>16</v>
      </c>
      <c r="G2" s="1">
        <f t="shared" ref="G2" si="2">H2*0.8</f>
        <v>20</v>
      </c>
      <c r="H2" s="1">
        <v>25</v>
      </c>
      <c r="I2" s="1">
        <f t="shared" ref="I2:O6" si="3">H2*1.1</f>
        <v>27.500000000000004</v>
      </c>
      <c r="J2" s="1">
        <f t="shared" si="3"/>
        <v>30.250000000000007</v>
      </c>
      <c r="K2" s="1">
        <f t="shared" si="3"/>
        <v>33.275000000000013</v>
      </c>
      <c r="L2" s="1">
        <f t="shared" si="3"/>
        <v>36.60250000000002</v>
      </c>
      <c r="M2" s="1">
        <f t="shared" si="3"/>
        <v>40.262750000000025</v>
      </c>
      <c r="N2" s="1">
        <f t="shared" si="3"/>
        <v>44.289025000000031</v>
      </c>
      <c r="O2" s="1">
        <f t="shared" si="3"/>
        <v>48.717927500000037</v>
      </c>
      <c r="P2" s="1">
        <f t="shared" ref="P2:W6" si="4">O2*1.05</f>
        <v>51.153823875000043</v>
      </c>
      <c r="Q2" s="1">
        <f t="shared" si="4"/>
        <v>53.711515068750046</v>
      </c>
      <c r="R2" s="1">
        <f t="shared" si="4"/>
        <v>56.39709082218755</v>
      </c>
      <c r="S2" s="1">
        <f t="shared" si="4"/>
        <v>59.216945363296929</v>
      </c>
      <c r="T2" s="1">
        <f t="shared" si="4"/>
        <v>62.177792631461777</v>
      </c>
      <c r="U2" s="1">
        <f t="shared" si="4"/>
        <v>65.286682263034862</v>
      </c>
      <c r="V2" s="1">
        <f t="shared" si="4"/>
        <v>68.55101637618661</v>
      </c>
      <c r="W2" s="1">
        <f t="shared" si="4"/>
        <v>71.978567194995946</v>
      </c>
    </row>
    <row r="3" spans="1:23" x14ac:dyDescent="0.35">
      <c r="A3" t="s">
        <v>5</v>
      </c>
      <c r="B3" t="s">
        <v>2</v>
      </c>
      <c r="C3" t="s">
        <v>1</v>
      </c>
      <c r="D3" s="1">
        <f t="shared" si="0"/>
        <v>13.107200000000004</v>
      </c>
      <c r="E3" s="1">
        <f t="shared" si="0"/>
        <v>16.384000000000004</v>
      </c>
      <c r="F3" s="1">
        <f t="shared" si="0"/>
        <v>20.480000000000004</v>
      </c>
      <c r="G3" s="1">
        <f t="shared" si="0"/>
        <v>25.6</v>
      </c>
      <c r="H3" s="1">
        <v>32</v>
      </c>
      <c r="I3" s="1">
        <f t="shared" si="3"/>
        <v>35.200000000000003</v>
      </c>
      <c r="J3" s="1">
        <f t="shared" si="3"/>
        <v>38.720000000000006</v>
      </c>
      <c r="K3" s="1">
        <f t="shared" si="3"/>
        <v>42.592000000000013</v>
      </c>
      <c r="L3" s="1">
        <f t="shared" si="3"/>
        <v>46.85120000000002</v>
      </c>
      <c r="M3" s="1">
        <f t="shared" si="3"/>
        <v>51.536320000000025</v>
      </c>
      <c r="N3" s="1">
        <f t="shared" si="3"/>
        <v>56.689952000000034</v>
      </c>
      <c r="O3" s="1">
        <f t="shared" si="3"/>
        <v>62.358947200000046</v>
      </c>
      <c r="P3" s="1">
        <f t="shared" si="4"/>
        <v>65.476894560000048</v>
      </c>
      <c r="Q3" s="1">
        <f t="shared" si="4"/>
        <v>68.750739288000048</v>
      </c>
      <c r="R3" s="1">
        <f t="shared" si="4"/>
        <v>72.188276252400058</v>
      </c>
      <c r="S3" s="1">
        <f t="shared" si="4"/>
        <v>75.797690065020063</v>
      </c>
      <c r="T3" s="1">
        <f t="shared" si="4"/>
        <v>79.587574568271066</v>
      </c>
      <c r="U3" s="1">
        <f t="shared" si="4"/>
        <v>83.566953296684616</v>
      </c>
      <c r="V3" s="1">
        <f t="shared" si="4"/>
        <v>87.745300961518851</v>
      </c>
      <c r="W3" s="1">
        <f t="shared" si="4"/>
        <v>92.132566009594797</v>
      </c>
    </row>
    <row r="4" spans="1:23" x14ac:dyDescent="0.35">
      <c r="A4" t="s">
        <v>6</v>
      </c>
      <c r="B4" t="s">
        <v>2</v>
      </c>
      <c r="C4" t="s">
        <v>1</v>
      </c>
      <c r="D4" s="1">
        <f t="shared" si="0"/>
        <v>21.299200000000003</v>
      </c>
      <c r="E4" s="1">
        <f t="shared" si="0"/>
        <v>26.624000000000002</v>
      </c>
      <c r="F4" s="1">
        <f t="shared" si="0"/>
        <v>33.28</v>
      </c>
      <c r="G4" s="1">
        <f t="shared" si="0"/>
        <v>41.6</v>
      </c>
      <c r="H4" s="1">
        <v>52</v>
      </c>
      <c r="I4" s="1">
        <f t="shared" si="3"/>
        <v>57.2</v>
      </c>
      <c r="J4" s="1">
        <f t="shared" si="3"/>
        <v>62.920000000000009</v>
      </c>
      <c r="K4" s="1">
        <f t="shared" si="3"/>
        <v>69.212000000000018</v>
      </c>
      <c r="L4" s="1">
        <f t="shared" si="3"/>
        <v>76.133200000000031</v>
      </c>
      <c r="M4" s="1">
        <f t="shared" si="3"/>
        <v>83.746520000000046</v>
      </c>
      <c r="N4" s="1">
        <f t="shared" si="3"/>
        <v>92.121172000000058</v>
      </c>
      <c r="O4" s="1">
        <f t="shared" si="3"/>
        <v>101.33328920000007</v>
      </c>
      <c r="P4" s="1">
        <f t="shared" si="4"/>
        <v>106.39995366000008</v>
      </c>
      <c r="Q4" s="1">
        <f t="shared" si="4"/>
        <v>111.71995134300009</v>
      </c>
      <c r="R4" s="1">
        <f t="shared" si="4"/>
        <v>117.30594891015009</v>
      </c>
      <c r="S4" s="1">
        <f t="shared" si="4"/>
        <v>123.1712463556576</v>
      </c>
      <c r="T4" s="1">
        <f t="shared" si="4"/>
        <v>129.32980867344048</v>
      </c>
      <c r="U4" s="1">
        <f t="shared" si="4"/>
        <v>135.7962991071125</v>
      </c>
      <c r="V4" s="1">
        <f t="shared" si="4"/>
        <v>142.58611406246814</v>
      </c>
      <c r="W4" s="1">
        <f t="shared" si="4"/>
        <v>149.71541976559155</v>
      </c>
    </row>
    <row r="5" spans="1:23" x14ac:dyDescent="0.35">
      <c r="A5" t="s">
        <v>7</v>
      </c>
      <c r="B5" t="s">
        <v>2</v>
      </c>
      <c r="C5" t="s">
        <v>1</v>
      </c>
      <c r="D5" s="1">
        <f t="shared" si="0"/>
        <v>6.1440000000000019</v>
      </c>
      <c r="E5" s="1">
        <f t="shared" si="0"/>
        <v>7.6800000000000015</v>
      </c>
      <c r="F5" s="1">
        <f t="shared" si="0"/>
        <v>9.6000000000000014</v>
      </c>
      <c r="G5" s="1">
        <f t="shared" si="0"/>
        <v>12</v>
      </c>
      <c r="H5" s="1">
        <v>15</v>
      </c>
      <c r="I5" s="1">
        <f t="shared" si="3"/>
        <v>16.5</v>
      </c>
      <c r="J5" s="1">
        <f t="shared" si="3"/>
        <v>18.150000000000002</v>
      </c>
      <c r="K5" s="1">
        <f t="shared" si="3"/>
        <v>19.965000000000003</v>
      </c>
      <c r="L5" s="1">
        <f t="shared" si="3"/>
        <v>21.961500000000004</v>
      </c>
      <c r="M5" s="1">
        <f t="shared" si="3"/>
        <v>24.157650000000007</v>
      </c>
      <c r="N5" s="1">
        <f t="shared" si="3"/>
        <v>26.573415000000011</v>
      </c>
      <c r="O5" s="1">
        <f t="shared" si="3"/>
        <v>29.230756500000016</v>
      </c>
      <c r="P5" s="1">
        <f t="shared" si="4"/>
        <v>30.692294325000017</v>
      </c>
      <c r="Q5" s="1">
        <f t="shared" si="4"/>
        <v>32.226909041250018</v>
      </c>
      <c r="R5" s="1">
        <f t="shared" si="4"/>
        <v>33.838254493312519</v>
      </c>
      <c r="S5" s="1">
        <f t="shared" si="4"/>
        <v>35.530167217978146</v>
      </c>
      <c r="T5" s="1">
        <f t="shared" si="4"/>
        <v>37.306675578877055</v>
      </c>
      <c r="U5" s="1">
        <f t="shared" si="4"/>
        <v>39.172009357820912</v>
      </c>
      <c r="V5" s="1">
        <f t="shared" si="4"/>
        <v>41.130609825711957</v>
      </c>
      <c r="W5" s="1">
        <f t="shared" si="4"/>
        <v>43.187140316997557</v>
      </c>
    </row>
    <row r="6" spans="1:23" x14ac:dyDescent="0.35">
      <c r="A6" t="s">
        <v>8</v>
      </c>
      <c r="B6" t="s">
        <v>2</v>
      </c>
      <c r="C6" t="s">
        <v>1</v>
      </c>
      <c r="D6" s="1">
        <f t="shared" si="0"/>
        <v>4.9152000000000022</v>
      </c>
      <c r="E6" s="1">
        <f t="shared" si="0"/>
        <v>6.1440000000000019</v>
      </c>
      <c r="F6" s="1">
        <f t="shared" si="0"/>
        <v>7.6800000000000015</v>
      </c>
      <c r="G6" s="1">
        <f t="shared" si="0"/>
        <v>9.6000000000000014</v>
      </c>
      <c r="H6" s="1">
        <v>12</v>
      </c>
      <c r="I6" s="1">
        <f t="shared" si="3"/>
        <v>13.200000000000001</v>
      </c>
      <c r="J6" s="1">
        <f t="shared" si="3"/>
        <v>14.520000000000003</v>
      </c>
      <c r="K6" s="1">
        <f t="shared" si="3"/>
        <v>15.972000000000005</v>
      </c>
      <c r="L6" s="1">
        <f t="shared" si="3"/>
        <v>17.569200000000006</v>
      </c>
      <c r="M6" s="1">
        <f t="shared" si="3"/>
        <v>19.326120000000007</v>
      </c>
      <c r="N6" s="1">
        <f t="shared" si="3"/>
        <v>21.258732000000009</v>
      </c>
      <c r="O6" s="1">
        <f t="shared" si="3"/>
        <v>23.384605200000014</v>
      </c>
      <c r="P6" s="1">
        <f t="shared" si="4"/>
        <v>24.553835460000016</v>
      </c>
      <c r="Q6" s="1">
        <f t="shared" si="4"/>
        <v>25.78152723300002</v>
      </c>
      <c r="R6" s="1">
        <f t="shared" si="4"/>
        <v>27.070603594650024</v>
      </c>
      <c r="S6" s="1">
        <f t="shared" si="4"/>
        <v>28.424133774382526</v>
      </c>
      <c r="T6" s="1">
        <f t="shared" si="4"/>
        <v>29.845340463101653</v>
      </c>
      <c r="U6" s="1">
        <f t="shared" si="4"/>
        <v>31.337607486256736</v>
      </c>
      <c r="V6" s="1">
        <f t="shared" si="4"/>
        <v>32.904487860569574</v>
      </c>
      <c r="W6" s="1">
        <f t="shared" si="4"/>
        <v>34.549712253598052</v>
      </c>
    </row>
    <row r="7" spans="1:23" x14ac:dyDescent="0.35">
      <c r="D7" s="1"/>
    </row>
    <row r="10" spans="1:23" x14ac:dyDescent="0.35">
      <c r="L10" s="1"/>
    </row>
    <row r="11" spans="1:23" x14ac:dyDescent="0.35">
      <c r="L11" s="1"/>
    </row>
    <row r="12" spans="1:23" x14ac:dyDescent="0.35">
      <c r="L12" s="1"/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prices</vt:lpstr>
      <vt:lpstr>demands</vt:lpstr>
      <vt:lpstr>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Linsel, Oliver</cp:lastModifiedBy>
  <dcterms:created xsi:type="dcterms:W3CDTF">2015-06-05T18:19:34Z</dcterms:created>
  <dcterms:modified xsi:type="dcterms:W3CDTF">2026-05-17T18:30:46Z</dcterms:modified>
</cp:coreProperties>
</file>