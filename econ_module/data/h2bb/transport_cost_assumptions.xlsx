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er\Documents\RUB\01_Projekte\IGC_NRW\Arbeitspakete\IGC_model\econ_module\data\h2bb\"/>
    </mc:Choice>
  </mc:AlternateContent>
  <xr:revisionPtr revIDLastSave="0" documentId="13_ncr:1_{984A5EDD-C133-4FC7-9750-F688248931CE}" xr6:coauthVersionLast="47" xr6:coauthVersionMax="47" xr10:uidLastSave="{00000000-0000-0000-0000-000000000000}"/>
  <bookViews>
    <workbookView xWindow="57480" yWindow="-4725" windowWidth="29040" windowHeight="15720" activeTab="3" xr2:uid="{00000000-000D-0000-FFFF-FFFF00000000}"/>
  </bookViews>
  <sheets>
    <sheet name="pipeline_collection" sheetId="1" r:id="rId1"/>
    <sheet name="pipeline_data" sheetId="3" r:id="rId2"/>
    <sheet name="shipping_collection" sheetId="4" r:id="rId3"/>
    <sheet name="shipping_compact" sheetId="6" r:id="rId4"/>
    <sheet name="shipping_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0" i="3" l="1"/>
  <c r="S106" i="3"/>
  <c r="R50" i="2"/>
  <c r="D25" i="6"/>
  <c r="O103" i="2" s="1"/>
  <c r="K12" i="6"/>
  <c r="AV37" i="4"/>
  <c r="AV38" i="4" s="1"/>
  <c r="D12" i="6"/>
  <c r="H53" i="2" s="1"/>
  <c r="G21" i="6"/>
  <c r="K102" i="2" s="1"/>
  <c r="D21" i="6"/>
  <c r="H106" i="2" s="1"/>
  <c r="T51" i="2"/>
  <c r="U51" i="2"/>
  <c r="V51" i="2"/>
  <c r="W51" i="2"/>
  <c r="X51" i="2"/>
  <c r="Y51" i="2"/>
  <c r="Z51" i="2"/>
  <c r="T52" i="2"/>
  <c r="U52" i="2"/>
  <c r="V52" i="2"/>
  <c r="W52" i="2"/>
  <c r="X52" i="2"/>
  <c r="Y52" i="2"/>
  <c r="Z52" i="2"/>
  <c r="T53" i="2"/>
  <c r="U53" i="2"/>
  <c r="V53" i="2"/>
  <c r="W53" i="2"/>
  <c r="X53" i="2"/>
  <c r="Y53" i="2"/>
  <c r="Z53" i="2"/>
  <c r="T54" i="2"/>
  <c r="U54" i="2"/>
  <c r="V54" i="2"/>
  <c r="W54" i="2"/>
  <c r="X54" i="2"/>
  <c r="Y54" i="2"/>
  <c r="Z54" i="2"/>
  <c r="T55" i="2"/>
  <c r="U55" i="2"/>
  <c r="V55" i="2"/>
  <c r="W55" i="2"/>
  <c r="X55" i="2"/>
  <c r="Y55" i="2"/>
  <c r="Z55" i="2"/>
  <c r="T56" i="2"/>
  <c r="U56" i="2"/>
  <c r="V56" i="2"/>
  <c r="W56" i="2"/>
  <c r="X56" i="2"/>
  <c r="Y56" i="2"/>
  <c r="Z56" i="2"/>
  <c r="T57" i="2"/>
  <c r="U57" i="2"/>
  <c r="V57" i="2"/>
  <c r="W57" i="2"/>
  <c r="X57" i="2"/>
  <c r="Y57" i="2"/>
  <c r="Z57" i="2"/>
  <c r="T58" i="2"/>
  <c r="U58" i="2"/>
  <c r="V58" i="2"/>
  <c r="W58" i="2"/>
  <c r="X58" i="2"/>
  <c r="Y58" i="2"/>
  <c r="Z58" i="2"/>
  <c r="T59" i="2"/>
  <c r="U59" i="2"/>
  <c r="V59" i="2"/>
  <c r="W59" i="2"/>
  <c r="X59" i="2"/>
  <c r="Y59" i="2"/>
  <c r="Z59" i="2"/>
  <c r="T60" i="2"/>
  <c r="U60" i="2"/>
  <c r="V60" i="2"/>
  <c r="W60" i="2"/>
  <c r="X60" i="2"/>
  <c r="Y60" i="2"/>
  <c r="Z60" i="2"/>
  <c r="T61" i="2"/>
  <c r="U61" i="2"/>
  <c r="V61" i="2"/>
  <c r="W61" i="2"/>
  <c r="X61" i="2"/>
  <c r="Y61" i="2"/>
  <c r="Z61" i="2"/>
  <c r="T62" i="2"/>
  <c r="U62" i="2"/>
  <c r="V62" i="2"/>
  <c r="W62" i="2"/>
  <c r="X62" i="2"/>
  <c r="Y62" i="2"/>
  <c r="Z62" i="2"/>
  <c r="T63" i="2"/>
  <c r="U63" i="2"/>
  <c r="V63" i="2"/>
  <c r="W63" i="2"/>
  <c r="X63" i="2"/>
  <c r="Y63" i="2"/>
  <c r="Z63" i="2"/>
  <c r="T64" i="2"/>
  <c r="U64" i="2"/>
  <c r="V64" i="2"/>
  <c r="W64" i="2"/>
  <c r="X64" i="2"/>
  <c r="Y64" i="2"/>
  <c r="Z64" i="2"/>
  <c r="T65" i="2"/>
  <c r="U65" i="2"/>
  <c r="V65" i="2"/>
  <c r="W65" i="2"/>
  <c r="X65" i="2"/>
  <c r="Y65" i="2"/>
  <c r="Z65" i="2"/>
  <c r="T66" i="2"/>
  <c r="U66" i="2"/>
  <c r="V66" i="2"/>
  <c r="W66" i="2"/>
  <c r="X66" i="2"/>
  <c r="Y66" i="2"/>
  <c r="Z66" i="2"/>
  <c r="T67" i="2"/>
  <c r="U67" i="2"/>
  <c r="V67" i="2"/>
  <c r="W67" i="2"/>
  <c r="X67" i="2"/>
  <c r="Y67" i="2"/>
  <c r="Z67" i="2"/>
  <c r="T68" i="2"/>
  <c r="U68" i="2"/>
  <c r="V68" i="2"/>
  <c r="W68" i="2"/>
  <c r="X68" i="2"/>
  <c r="Y68" i="2"/>
  <c r="Z68" i="2"/>
  <c r="T69" i="2"/>
  <c r="U69" i="2"/>
  <c r="V69" i="2"/>
  <c r="W69" i="2"/>
  <c r="X69" i="2"/>
  <c r="Y69" i="2"/>
  <c r="Z69" i="2"/>
  <c r="T70" i="2"/>
  <c r="U70" i="2"/>
  <c r="V70" i="2"/>
  <c r="W70" i="2"/>
  <c r="X70" i="2"/>
  <c r="Y70" i="2"/>
  <c r="Z70" i="2"/>
  <c r="T71" i="2"/>
  <c r="U71" i="2"/>
  <c r="V71" i="2"/>
  <c r="W71" i="2"/>
  <c r="X71" i="2"/>
  <c r="Y71" i="2"/>
  <c r="Z71" i="2"/>
  <c r="T72" i="2"/>
  <c r="U72" i="2"/>
  <c r="V72" i="2"/>
  <c r="W72" i="2"/>
  <c r="X72" i="2"/>
  <c r="Y72" i="2"/>
  <c r="Z72" i="2"/>
  <c r="T73" i="2"/>
  <c r="U73" i="2"/>
  <c r="V73" i="2"/>
  <c r="W73" i="2"/>
  <c r="X73" i="2"/>
  <c r="Y73" i="2"/>
  <c r="Z73" i="2"/>
  <c r="T74" i="2"/>
  <c r="U74" i="2"/>
  <c r="V74" i="2"/>
  <c r="W74" i="2"/>
  <c r="X74" i="2"/>
  <c r="Y74" i="2"/>
  <c r="Z74" i="2"/>
  <c r="T75" i="2"/>
  <c r="U75" i="2"/>
  <c r="V75" i="2"/>
  <c r="W75" i="2"/>
  <c r="X75" i="2"/>
  <c r="Y75" i="2"/>
  <c r="Z75" i="2"/>
  <c r="T76" i="2"/>
  <c r="U76" i="2"/>
  <c r="V76" i="2"/>
  <c r="W76" i="2"/>
  <c r="X76" i="2"/>
  <c r="Y76" i="2"/>
  <c r="Z76" i="2"/>
  <c r="T77" i="2"/>
  <c r="U77" i="2"/>
  <c r="V77" i="2"/>
  <c r="W77" i="2"/>
  <c r="X77" i="2"/>
  <c r="Y77" i="2"/>
  <c r="Z77" i="2"/>
  <c r="T78" i="2"/>
  <c r="U78" i="2"/>
  <c r="V78" i="2"/>
  <c r="W78" i="2"/>
  <c r="X78" i="2"/>
  <c r="Y78" i="2"/>
  <c r="Z78" i="2"/>
  <c r="T79" i="2"/>
  <c r="U79" i="2"/>
  <c r="V79" i="2"/>
  <c r="W79" i="2"/>
  <c r="X79" i="2"/>
  <c r="Y79" i="2"/>
  <c r="Z79" i="2"/>
  <c r="T80" i="2"/>
  <c r="U80" i="2"/>
  <c r="V80" i="2"/>
  <c r="W80" i="2"/>
  <c r="X80" i="2"/>
  <c r="Y80" i="2"/>
  <c r="Z80" i="2"/>
  <c r="T81" i="2"/>
  <c r="U81" i="2"/>
  <c r="V81" i="2"/>
  <c r="W81" i="2"/>
  <c r="X81" i="2"/>
  <c r="Y81" i="2"/>
  <c r="Z81" i="2"/>
  <c r="T82" i="2"/>
  <c r="U82" i="2"/>
  <c r="V82" i="2"/>
  <c r="W82" i="2"/>
  <c r="X82" i="2"/>
  <c r="Y82" i="2"/>
  <c r="Z82" i="2"/>
  <c r="T83" i="2"/>
  <c r="U83" i="2"/>
  <c r="V83" i="2"/>
  <c r="W83" i="2"/>
  <c r="X83" i="2"/>
  <c r="Y83" i="2"/>
  <c r="Z83" i="2"/>
  <c r="T84" i="2"/>
  <c r="U84" i="2"/>
  <c r="V84" i="2"/>
  <c r="W84" i="2"/>
  <c r="X84" i="2"/>
  <c r="Y84" i="2"/>
  <c r="Z84" i="2"/>
  <c r="T85" i="2"/>
  <c r="U85" i="2"/>
  <c r="V85" i="2"/>
  <c r="W85" i="2"/>
  <c r="X85" i="2"/>
  <c r="Y85" i="2"/>
  <c r="Z85" i="2"/>
  <c r="T86" i="2"/>
  <c r="U86" i="2"/>
  <c r="V86" i="2"/>
  <c r="W86" i="2"/>
  <c r="X86" i="2"/>
  <c r="Y86" i="2"/>
  <c r="Z86" i="2"/>
  <c r="T87" i="2"/>
  <c r="U87" i="2"/>
  <c r="V87" i="2"/>
  <c r="W87" i="2"/>
  <c r="X87" i="2"/>
  <c r="Y87" i="2"/>
  <c r="Z87" i="2"/>
  <c r="T88" i="2"/>
  <c r="U88" i="2"/>
  <c r="V88" i="2"/>
  <c r="W88" i="2"/>
  <c r="X88" i="2"/>
  <c r="Y88" i="2"/>
  <c r="Z88" i="2"/>
  <c r="T89" i="2"/>
  <c r="U89" i="2"/>
  <c r="V89" i="2"/>
  <c r="W89" i="2"/>
  <c r="X89" i="2"/>
  <c r="Y89" i="2"/>
  <c r="Z89" i="2"/>
  <c r="T90" i="2"/>
  <c r="U90" i="2"/>
  <c r="V90" i="2"/>
  <c r="W90" i="2"/>
  <c r="X90" i="2"/>
  <c r="Y90" i="2"/>
  <c r="Z90" i="2"/>
  <c r="T91" i="2"/>
  <c r="U91" i="2"/>
  <c r="V91" i="2"/>
  <c r="W91" i="2"/>
  <c r="X91" i="2"/>
  <c r="Y91" i="2"/>
  <c r="Z91" i="2"/>
  <c r="T92" i="2"/>
  <c r="U92" i="2"/>
  <c r="V92" i="2"/>
  <c r="W92" i="2"/>
  <c r="X92" i="2"/>
  <c r="Y92" i="2"/>
  <c r="Z92" i="2"/>
  <c r="T93" i="2"/>
  <c r="U93" i="2"/>
  <c r="V93" i="2"/>
  <c r="W93" i="2"/>
  <c r="X93" i="2"/>
  <c r="Y93" i="2"/>
  <c r="Z93" i="2"/>
  <c r="T94" i="2"/>
  <c r="U94" i="2"/>
  <c r="V94" i="2"/>
  <c r="W94" i="2"/>
  <c r="X94" i="2"/>
  <c r="Y94" i="2"/>
  <c r="Z94" i="2"/>
  <c r="T95" i="2"/>
  <c r="U95" i="2"/>
  <c r="V95" i="2"/>
  <c r="W95" i="2"/>
  <c r="X95" i="2"/>
  <c r="Y95" i="2"/>
  <c r="Z95" i="2"/>
  <c r="T96" i="2"/>
  <c r="U96" i="2"/>
  <c r="V96" i="2"/>
  <c r="W96" i="2"/>
  <c r="X96" i="2"/>
  <c r="Y96" i="2"/>
  <c r="Z96" i="2"/>
  <c r="T97" i="2"/>
  <c r="U97" i="2"/>
  <c r="V97" i="2"/>
  <c r="W97" i="2"/>
  <c r="X97" i="2"/>
  <c r="Y97" i="2"/>
  <c r="Z97" i="2"/>
  <c r="Z50" i="2"/>
  <c r="U50" i="2"/>
  <c r="V50" i="2"/>
  <c r="W50" i="2"/>
  <c r="X50" i="2"/>
  <c r="Y50" i="2"/>
  <c r="T50" i="2"/>
  <c r="T99" i="2"/>
  <c r="U99" i="2"/>
  <c r="V99" i="2"/>
  <c r="W99" i="2"/>
  <c r="X99" i="2"/>
  <c r="Y99" i="2"/>
  <c r="Z99" i="2"/>
  <c r="T100" i="2"/>
  <c r="U100" i="2"/>
  <c r="V100" i="2"/>
  <c r="W100" i="2"/>
  <c r="X100" i="2"/>
  <c r="Y100" i="2"/>
  <c r="Z100" i="2"/>
  <c r="T101" i="2"/>
  <c r="U101" i="2"/>
  <c r="V101" i="2"/>
  <c r="W101" i="2"/>
  <c r="X101" i="2"/>
  <c r="Y101" i="2"/>
  <c r="Z101" i="2"/>
  <c r="T102" i="2"/>
  <c r="U102" i="2"/>
  <c r="V102" i="2"/>
  <c r="W102" i="2"/>
  <c r="X102" i="2"/>
  <c r="Y102" i="2"/>
  <c r="Z102" i="2"/>
  <c r="T103" i="2"/>
  <c r="U103" i="2"/>
  <c r="V103" i="2"/>
  <c r="W103" i="2"/>
  <c r="X103" i="2"/>
  <c r="Y103" i="2"/>
  <c r="Z103" i="2"/>
  <c r="T104" i="2"/>
  <c r="U104" i="2"/>
  <c r="V104" i="2"/>
  <c r="W104" i="2"/>
  <c r="X104" i="2"/>
  <c r="Y104" i="2"/>
  <c r="Z104" i="2"/>
  <c r="T105" i="2"/>
  <c r="U105" i="2"/>
  <c r="V105" i="2"/>
  <c r="W105" i="2"/>
  <c r="X105" i="2"/>
  <c r="Y105" i="2"/>
  <c r="Z105" i="2"/>
  <c r="T106" i="2"/>
  <c r="U106" i="2"/>
  <c r="V106" i="2"/>
  <c r="W106" i="2"/>
  <c r="X106" i="2"/>
  <c r="Y106" i="2"/>
  <c r="Z106" i="2"/>
  <c r="T107" i="2"/>
  <c r="U107" i="2"/>
  <c r="V107" i="2"/>
  <c r="W107" i="2"/>
  <c r="X107" i="2"/>
  <c r="Y107" i="2"/>
  <c r="Z107" i="2"/>
  <c r="T108" i="2"/>
  <c r="U108" i="2"/>
  <c r="V108" i="2"/>
  <c r="W108" i="2"/>
  <c r="X108" i="2"/>
  <c r="Y108" i="2"/>
  <c r="Z108" i="2"/>
  <c r="T109" i="2"/>
  <c r="U109" i="2"/>
  <c r="V109" i="2"/>
  <c r="W109" i="2"/>
  <c r="X109" i="2"/>
  <c r="Y109" i="2"/>
  <c r="Z109" i="2"/>
  <c r="T110" i="2"/>
  <c r="U110" i="2"/>
  <c r="V110" i="2"/>
  <c r="W110" i="2"/>
  <c r="X110" i="2"/>
  <c r="Y110" i="2"/>
  <c r="Z110" i="2"/>
  <c r="T111" i="2"/>
  <c r="U111" i="2"/>
  <c r="V111" i="2"/>
  <c r="W111" i="2"/>
  <c r="X111" i="2"/>
  <c r="Y111" i="2"/>
  <c r="Z111" i="2"/>
  <c r="T112" i="2"/>
  <c r="U112" i="2"/>
  <c r="V112" i="2"/>
  <c r="W112" i="2"/>
  <c r="X112" i="2"/>
  <c r="Y112" i="2"/>
  <c r="Z112" i="2"/>
  <c r="T113" i="2"/>
  <c r="U113" i="2"/>
  <c r="V113" i="2"/>
  <c r="W113" i="2"/>
  <c r="X113" i="2"/>
  <c r="Y113" i="2"/>
  <c r="Z113" i="2"/>
  <c r="T114" i="2"/>
  <c r="U114" i="2"/>
  <c r="V114" i="2"/>
  <c r="W114" i="2"/>
  <c r="X114" i="2"/>
  <c r="Y114" i="2"/>
  <c r="Z114" i="2"/>
  <c r="T115" i="2"/>
  <c r="U115" i="2"/>
  <c r="V115" i="2"/>
  <c r="W115" i="2"/>
  <c r="X115" i="2"/>
  <c r="Y115" i="2"/>
  <c r="Z115" i="2"/>
  <c r="T116" i="2"/>
  <c r="U116" i="2"/>
  <c r="V116" i="2"/>
  <c r="W116" i="2"/>
  <c r="X116" i="2"/>
  <c r="Y116" i="2"/>
  <c r="Z116" i="2"/>
  <c r="T117" i="2"/>
  <c r="U117" i="2"/>
  <c r="V117" i="2"/>
  <c r="W117" i="2"/>
  <c r="X117" i="2"/>
  <c r="Y117" i="2"/>
  <c r="Z117" i="2"/>
  <c r="T118" i="2"/>
  <c r="U118" i="2"/>
  <c r="V118" i="2"/>
  <c r="W118" i="2"/>
  <c r="X118" i="2"/>
  <c r="Y118" i="2"/>
  <c r="Z118" i="2"/>
  <c r="T119" i="2"/>
  <c r="U119" i="2"/>
  <c r="V119" i="2"/>
  <c r="W119" i="2"/>
  <c r="X119" i="2"/>
  <c r="Y119" i="2"/>
  <c r="Z119" i="2"/>
  <c r="T120" i="2"/>
  <c r="U120" i="2"/>
  <c r="V120" i="2"/>
  <c r="W120" i="2"/>
  <c r="X120" i="2"/>
  <c r="Y120" i="2"/>
  <c r="Z120" i="2"/>
  <c r="T121" i="2"/>
  <c r="U121" i="2"/>
  <c r="V121" i="2"/>
  <c r="W121" i="2"/>
  <c r="X121" i="2"/>
  <c r="Y121" i="2"/>
  <c r="Z121" i="2"/>
  <c r="T122" i="2"/>
  <c r="U122" i="2"/>
  <c r="V122" i="2"/>
  <c r="W122" i="2"/>
  <c r="X122" i="2"/>
  <c r="Y122" i="2"/>
  <c r="Z122" i="2"/>
  <c r="T123" i="2"/>
  <c r="U123" i="2"/>
  <c r="V123" i="2"/>
  <c r="W123" i="2"/>
  <c r="X123" i="2"/>
  <c r="Y123" i="2"/>
  <c r="Z123" i="2"/>
  <c r="T124" i="2"/>
  <c r="U124" i="2"/>
  <c r="V124" i="2"/>
  <c r="W124" i="2"/>
  <c r="X124" i="2"/>
  <c r="Y124" i="2"/>
  <c r="Z124" i="2"/>
  <c r="T125" i="2"/>
  <c r="U125" i="2"/>
  <c r="V125" i="2"/>
  <c r="W125" i="2"/>
  <c r="X125" i="2"/>
  <c r="Y125" i="2"/>
  <c r="Z125" i="2"/>
  <c r="T126" i="2"/>
  <c r="U126" i="2"/>
  <c r="V126" i="2"/>
  <c r="W126" i="2"/>
  <c r="X126" i="2"/>
  <c r="Y126" i="2"/>
  <c r="Z126" i="2"/>
  <c r="T127" i="2"/>
  <c r="U127" i="2"/>
  <c r="V127" i="2"/>
  <c r="W127" i="2"/>
  <c r="X127" i="2"/>
  <c r="Y127" i="2"/>
  <c r="Z127" i="2"/>
  <c r="T128" i="2"/>
  <c r="U128" i="2"/>
  <c r="V128" i="2"/>
  <c r="W128" i="2"/>
  <c r="X128" i="2"/>
  <c r="Y128" i="2"/>
  <c r="Z128" i="2"/>
  <c r="T129" i="2"/>
  <c r="U129" i="2"/>
  <c r="V129" i="2"/>
  <c r="W129" i="2"/>
  <c r="X129" i="2"/>
  <c r="Y129" i="2"/>
  <c r="Z129" i="2"/>
  <c r="T130" i="2"/>
  <c r="U130" i="2"/>
  <c r="V130" i="2"/>
  <c r="W130" i="2"/>
  <c r="X130" i="2"/>
  <c r="Y130" i="2"/>
  <c r="Z130" i="2"/>
  <c r="T131" i="2"/>
  <c r="U131" i="2"/>
  <c r="V131" i="2"/>
  <c r="W131" i="2"/>
  <c r="X131" i="2"/>
  <c r="Y131" i="2"/>
  <c r="Z131" i="2"/>
  <c r="T132" i="2"/>
  <c r="U132" i="2"/>
  <c r="V132" i="2"/>
  <c r="W132" i="2"/>
  <c r="X132" i="2"/>
  <c r="Y132" i="2"/>
  <c r="Z132" i="2"/>
  <c r="T133" i="2"/>
  <c r="U133" i="2"/>
  <c r="V133" i="2"/>
  <c r="W133" i="2"/>
  <c r="X133" i="2"/>
  <c r="Y133" i="2"/>
  <c r="Z133" i="2"/>
  <c r="T134" i="2"/>
  <c r="U134" i="2"/>
  <c r="V134" i="2"/>
  <c r="W134" i="2"/>
  <c r="X134" i="2"/>
  <c r="Y134" i="2"/>
  <c r="Z134" i="2"/>
  <c r="T135" i="2"/>
  <c r="U135" i="2"/>
  <c r="V135" i="2"/>
  <c r="W135" i="2"/>
  <c r="X135" i="2"/>
  <c r="Y135" i="2"/>
  <c r="Z135" i="2"/>
  <c r="T136" i="2"/>
  <c r="U136" i="2"/>
  <c r="V136" i="2"/>
  <c r="W136" i="2"/>
  <c r="X136" i="2"/>
  <c r="Y136" i="2"/>
  <c r="Z136" i="2"/>
  <c r="T137" i="2"/>
  <c r="U137" i="2"/>
  <c r="V137" i="2"/>
  <c r="W137" i="2"/>
  <c r="X137" i="2"/>
  <c r="Y137" i="2"/>
  <c r="Z137" i="2"/>
  <c r="T138" i="2"/>
  <c r="U138" i="2"/>
  <c r="V138" i="2"/>
  <c r="W138" i="2"/>
  <c r="X138" i="2"/>
  <c r="Y138" i="2"/>
  <c r="Z138" i="2"/>
  <c r="T139" i="2"/>
  <c r="U139" i="2"/>
  <c r="V139" i="2"/>
  <c r="W139" i="2"/>
  <c r="X139" i="2"/>
  <c r="Y139" i="2"/>
  <c r="Z139" i="2"/>
  <c r="T140" i="2"/>
  <c r="U140" i="2"/>
  <c r="V140" i="2"/>
  <c r="W140" i="2"/>
  <c r="X140" i="2"/>
  <c r="Y140" i="2"/>
  <c r="Z140" i="2"/>
  <c r="T141" i="2"/>
  <c r="U141" i="2"/>
  <c r="V141" i="2"/>
  <c r="W141" i="2"/>
  <c r="X141" i="2"/>
  <c r="Y141" i="2"/>
  <c r="Z141" i="2"/>
  <c r="T142" i="2"/>
  <c r="U142" i="2"/>
  <c r="V142" i="2"/>
  <c r="W142" i="2"/>
  <c r="X142" i="2"/>
  <c r="Y142" i="2"/>
  <c r="Z142" i="2"/>
  <c r="T143" i="2"/>
  <c r="U143" i="2"/>
  <c r="V143" i="2"/>
  <c r="W143" i="2"/>
  <c r="X143" i="2"/>
  <c r="Y143" i="2"/>
  <c r="Z143" i="2"/>
  <c r="T144" i="2"/>
  <c r="U144" i="2"/>
  <c r="V144" i="2"/>
  <c r="W144" i="2"/>
  <c r="X144" i="2"/>
  <c r="Y144" i="2"/>
  <c r="Z144" i="2"/>
  <c r="T145" i="2"/>
  <c r="U145" i="2"/>
  <c r="V145" i="2"/>
  <c r="W145" i="2"/>
  <c r="X145" i="2"/>
  <c r="Y145" i="2"/>
  <c r="Z145" i="2"/>
  <c r="Z98" i="2"/>
  <c r="U98" i="2"/>
  <c r="V98" i="2"/>
  <c r="W98" i="2"/>
  <c r="X98" i="2"/>
  <c r="Y98" i="2"/>
  <c r="T98" i="2"/>
  <c r="P99" i="2"/>
  <c r="Q99" i="2"/>
  <c r="R99" i="2"/>
  <c r="S99" i="2"/>
  <c r="P100" i="2"/>
  <c r="Q100" i="2"/>
  <c r="R100" i="2"/>
  <c r="S100" i="2"/>
  <c r="O101" i="2"/>
  <c r="P101" i="2"/>
  <c r="Q101" i="2"/>
  <c r="R101" i="2"/>
  <c r="S101" i="2"/>
  <c r="P102" i="2"/>
  <c r="Q102" i="2"/>
  <c r="R102" i="2"/>
  <c r="S102" i="2"/>
  <c r="P103" i="2"/>
  <c r="Q103" i="2"/>
  <c r="R103" i="2"/>
  <c r="S103" i="2"/>
  <c r="P104" i="2"/>
  <c r="Q104" i="2"/>
  <c r="R104" i="2"/>
  <c r="S104" i="2"/>
  <c r="P105" i="2"/>
  <c r="Q105" i="2"/>
  <c r="R105" i="2"/>
  <c r="S105" i="2"/>
  <c r="O106" i="2"/>
  <c r="P106" i="2"/>
  <c r="Q106" i="2"/>
  <c r="R106" i="2"/>
  <c r="S106" i="2"/>
  <c r="P107" i="2"/>
  <c r="Q107" i="2"/>
  <c r="R107" i="2"/>
  <c r="S107" i="2"/>
  <c r="O108" i="2"/>
  <c r="P108" i="2"/>
  <c r="Q108" i="2"/>
  <c r="R108" i="2"/>
  <c r="S108" i="2"/>
  <c r="P109" i="2"/>
  <c r="Q109" i="2"/>
  <c r="R109" i="2"/>
  <c r="S109" i="2"/>
  <c r="P110" i="2"/>
  <c r="Q110" i="2"/>
  <c r="R110" i="2"/>
  <c r="S110" i="2"/>
  <c r="P111" i="2"/>
  <c r="Q111" i="2"/>
  <c r="R111" i="2"/>
  <c r="S111" i="2"/>
  <c r="P112" i="2"/>
  <c r="Q112" i="2"/>
  <c r="R112" i="2"/>
  <c r="S112" i="2"/>
  <c r="O113" i="2"/>
  <c r="P113" i="2"/>
  <c r="Q113" i="2"/>
  <c r="R113" i="2"/>
  <c r="S113" i="2"/>
  <c r="P114" i="2"/>
  <c r="Q114" i="2"/>
  <c r="R114" i="2"/>
  <c r="S114" i="2"/>
  <c r="P115" i="2"/>
  <c r="Q115" i="2"/>
  <c r="R115" i="2"/>
  <c r="S115" i="2"/>
  <c r="P116" i="2"/>
  <c r="Q116" i="2"/>
  <c r="R116" i="2"/>
  <c r="S116" i="2"/>
  <c r="P117" i="2"/>
  <c r="Q117" i="2"/>
  <c r="R117" i="2"/>
  <c r="S117" i="2"/>
  <c r="P118" i="2"/>
  <c r="Q118" i="2"/>
  <c r="R118" i="2"/>
  <c r="S118" i="2"/>
  <c r="P119" i="2"/>
  <c r="Q119" i="2"/>
  <c r="R119" i="2"/>
  <c r="S119" i="2"/>
  <c r="O120" i="2"/>
  <c r="P120" i="2"/>
  <c r="Q120" i="2"/>
  <c r="R120" i="2"/>
  <c r="S120" i="2"/>
  <c r="P121" i="2"/>
  <c r="Q121" i="2"/>
  <c r="R121" i="2"/>
  <c r="S121" i="2"/>
  <c r="O122" i="2"/>
  <c r="P122" i="2"/>
  <c r="Q122" i="2"/>
  <c r="R122" i="2"/>
  <c r="S122" i="2"/>
  <c r="P123" i="2"/>
  <c r="Q123" i="2"/>
  <c r="R123" i="2"/>
  <c r="S123" i="2"/>
  <c r="P124" i="2"/>
  <c r="Q124" i="2"/>
  <c r="R124" i="2"/>
  <c r="S124" i="2"/>
  <c r="O125" i="2"/>
  <c r="P125" i="2"/>
  <c r="Q125" i="2"/>
  <c r="R125" i="2"/>
  <c r="S125" i="2"/>
  <c r="P126" i="2"/>
  <c r="Q126" i="2"/>
  <c r="R126" i="2"/>
  <c r="S126" i="2"/>
  <c r="P127" i="2"/>
  <c r="Q127" i="2"/>
  <c r="R127" i="2"/>
  <c r="S127" i="2"/>
  <c r="P128" i="2"/>
  <c r="Q128" i="2"/>
  <c r="R128" i="2"/>
  <c r="S128" i="2"/>
  <c r="O129" i="2"/>
  <c r="P129" i="2"/>
  <c r="Q129" i="2"/>
  <c r="R129" i="2"/>
  <c r="S129" i="2"/>
  <c r="O130" i="2"/>
  <c r="P130" i="2"/>
  <c r="Q130" i="2"/>
  <c r="R130" i="2"/>
  <c r="S130" i="2"/>
  <c r="P131" i="2"/>
  <c r="Q131" i="2"/>
  <c r="R131" i="2"/>
  <c r="S131" i="2"/>
  <c r="O132" i="2"/>
  <c r="P132" i="2"/>
  <c r="Q132" i="2"/>
  <c r="R132" i="2"/>
  <c r="S132" i="2"/>
  <c r="P133" i="2"/>
  <c r="Q133" i="2"/>
  <c r="R133" i="2"/>
  <c r="S133" i="2"/>
  <c r="P134" i="2"/>
  <c r="Q134" i="2"/>
  <c r="R134" i="2"/>
  <c r="S134" i="2"/>
  <c r="P135" i="2"/>
  <c r="Q135" i="2"/>
  <c r="R135" i="2"/>
  <c r="S135" i="2"/>
  <c r="O136" i="2"/>
  <c r="P136" i="2"/>
  <c r="Q136" i="2"/>
  <c r="R136" i="2"/>
  <c r="S136" i="2"/>
  <c r="O137" i="2"/>
  <c r="P137" i="2"/>
  <c r="Q137" i="2"/>
  <c r="R137" i="2"/>
  <c r="S137" i="2"/>
  <c r="P138" i="2"/>
  <c r="Q138" i="2"/>
  <c r="R138" i="2"/>
  <c r="S138" i="2"/>
  <c r="P139" i="2"/>
  <c r="Q139" i="2"/>
  <c r="R139" i="2"/>
  <c r="S139" i="2"/>
  <c r="P140" i="2"/>
  <c r="Q140" i="2"/>
  <c r="R140" i="2"/>
  <c r="S140" i="2"/>
  <c r="O141" i="2"/>
  <c r="P141" i="2"/>
  <c r="Q141" i="2"/>
  <c r="R141" i="2"/>
  <c r="S141" i="2"/>
  <c r="P142" i="2"/>
  <c r="Q142" i="2"/>
  <c r="R142" i="2"/>
  <c r="S142" i="2"/>
  <c r="P143" i="2"/>
  <c r="Q143" i="2"/>
  <c r="R143" i="2"/>
  <c r="S143" i="2"/>
  <c r="O144" i="2"/>
  <c r="P144" i="2"/>
  <c r="Q144" i="2"/>
  <c r="R144" i="2"/>
  <c r="S144" i="2"/>
  <c r="P145" i="2"/>
  <c r="Q145" i="2"/>
  <c r="R145" i="2"/>
  <c r="S145" i="2"/>
  <c r="S98" i="2"/>
  <c r="R98" i="2"/>
  <c r="P98" i="2"/>
  <c r="Q98" i="2"/>
  <c r="O51" i="2"/>
  <c r="P51" i="2"/>
  <c r="Q51" i="2"/>
  <c r="R51" i="2"/>
  <c r="S51" i="2"/>
  <c r="O52" i="2"/>
  <c r="P52" i="2"/>
  <c r="Q52" i="2"/>
  <c r="R52" i="2"/>
  <c r="S52" i="2"/>
  <c r="O53" i="2"/>
  <c r="P53" i="2"/>
  <c r="Q53" i="2"/>
  <c r="R53" i="2"/>
  <c r="S53" i="2"/>
  <c r="O54" i="2"/>
  <c r="P54" i="2"/>
  <c r="Q54" i="2"/>
  <c r="R54" i="2"/>
  <c r="S54" i="2"/>
  <c r="O55" i="2"/>
  <c r="P55" i="2"/>
  <c r="Q55" i="2"/>
  <c r="R55" i="2"/>
  <c r="S55" i="2"/>
  <c r="O56" i="2"/>
  <c r="P56" i="2"/>
  <c r="Q56" i="2"/>
  <c r="R56" i="2"/>
  <c r="S56" i="2"/>
  <c r="O57" i="2"/>
  <c r="P57" i="2"/>
  <c r="Q57" i="2"/>
  <c r="R57" i="2"/>
  <c r="S57" i="2"/>
  <c r="O58" i="2"/>
  <c r="P58" i="2"/>
  <c r="Q58" i="2"/>
  <c r="R58" i="2"/>
  <c r="S58" i="2"/>
  <c r="O59" i="2"/>
  <c r="P59" i="2"/>
  <c r="Q59" i="2"/>
  <c r="R59" i="2"/>
  <c r="S59" i="2"/>
  <c r="O60" i="2"/>
  <c r="P60" i="2"/>
  <c r="Q60" i="2"/>
  <c r="R60" i="2"/>
  <c r="S60" i="2"/>
  <c r="O61" i="2"/>
  <c r="P61" i="2"/>
  <c r="Q61" i="2"/>
  <c r="R61" i="2"/>
  <c r="S61" i="2"/>
  <c r="O62" i="2"/>
  <c r="P62" i="2"/>
  <c r="Q62" i="2"/>
  <c r="R62" i="2"/>
  <c r="S62" i="2"/>
  <c r="O63" i="2"/>
  <c r="P63" i="2"/>
  <c r="Q63" i="2"/>
  <c r="R63" i="2"/>
  <c r="S63" i="2"/>
  <c r="O64" i="2"/>
  <c r="P64" i="2"/>
  <c r="Q64" i="2"/>
  <c r="R64" i="2"/>
  <c r="S64" i="2"/>
  <c r="O65" i="2"/>
  <c r="P65" i="2"/>
  <c r="Q65" i="2"/>
  <c r="R65" i="2"/>
  <c r="S65" i="2"/>
  <c r="O66" i="2"/>
  <c r="P66" i="2"/>
  <c r="Q66" i="2"/>
  <c r="R66" i="2"/>
  <c r="S66" i="2"/>
  <c r="O67" i="2"/>
  <c r="P67" i="2"/>
  <c r="Q67" i="2"/>
  <c r="R67" i="2"/>
  <c r="S67" i="2"/>
  <c r="O68" i="2"/>
  <c r="P68" i="2"/>
  <c r="Q68" i="2"/>
  <c r="R68" i="2"/>
  <c r="S68" i="2"/>
  <c r="O69" i="2"/>
  <c r="P69" i="2"/>
  <c r="Q69" i="2"/>
  <c r="R69" i="2"/>
  <c r="S69" i="2"/>
  <c r="O70" i="2"/>
  <c r="P70" i="2"/>
  <c r="Q70" i="2"/>
  <c r="R70" i="2"/>
  <c r="S70" i="2"/>
  <c r="O71" i="2"/>
  <c r="P71" i="2"/>
  <c r="Q71" i="2"/>
  <c r="R71" i="2"/>
  <c r="S71" i="2"/>
  <c r="O72" i="2"/>
  <c r="P72" i="2"/>
  <c r="Q72" i="2"/>
  <c r="R72" i="2"/>
  <c r="S72" i="2"/>
  <c r="O73" i="2"/>
  <c r="P73" i="2"/>
  <c r="Q73" i="2"/>
  <c r="R73" i="2"/>
  <c r="S73" i="2"/>
  <c r="O74" i="2"/>
  <c r="P74" i="2"/>
  <c r="Q74" i="2"/>
  <c r="R74" i="2"/>
  <c r="S74" i="2"/>
  <c r="O75" i="2"/>
  <c r="P75" i="2"/>
  <c r="Q75" i="2"/>
  <c r="R75" i="2"/>
  <c r="S75" i="2"/>
  <c r="O76" i="2"/>
  <c r="P76" i="2"/>
  <c r="Q76" i="2"/>
  <c r="R76" i="2"/>
  <c r="S76" i="2"/>
  <c r="O77" i="2"/>
  <c r="P77" i="2"/>
  <c r="Q77" i="2"/>
  <c r="R77" i="2"/>
  <c r="S77" i="2"/>
  <c r="O78" i="2"/>
  <c r="P78" i="2"/>
  <c r="Q78" i="2"/>
  <c r="R78" i="2"/>
  <c r="S78" i="2"/>
  <c r="O79" i="2"/>
  <c r="P79" i="2"/>
  <c r="Q79" i="2"/>
  <c r="R79" i="2"/>
  <c r="S79" i="2"/>
  <c r="O80" i="2"/>
  <c r="P80" i="2"/>
  <c r="Q80" i="2"/>
  <c r="R80" i="2"/>
  <c r="S80" i="2"/>
  <c r="O81" i="2"/>
  <c r="P81" i="2"/>
  <c r="Q81" i="2"/>
  <c r="R81" i="2"/>
  <c r="S81" i="2"/>
  <c r="O82" i="2"/>
  <c r="P82" i="2"/>
  <c r="Q82" i="2"/>
  <c r="R82" i="2"/>
  <c r="S82" i="2"/>
  <c r="O83" i="2"/>
  <c r="P83" i="2"/>
  <c r="Q83" i="2"/>
  <c r="R83" i="2"/>
  <c r="S83" i="2"/>
  <c r="O84" i="2"/>
  <c r="P84" i="2"/>
  <c r="Q84" i="2"/>
  <c r="R84" i="2"/>
  <c r="S84" i="2"/>
  <c r="O85" i="2"/>
  <c r="P85" i="2"/>
  <c r="Q85" i="2"/>
  <c r="R85" i="2"/>
  <c r="S85" i="2"/>
  <c r="O86" i="2"/>
  <c r="P86" i="2"/>
  <c r="Q86" i="2"/>
  <c r="R86" i="2"/>
  <c r="S86" i="2"/>
  <c r="O87" i="2"/>
  <c r="P87" i="2"/>
  <c r="Q87" i="2"/>
  <c r="R87" i="2"/>
  <c r="S87" i="2"/>
  <c r="O88" i="2"/>
  <c r="P88" i="2"/>
  <c r="Q88" i="2"/>
  <c r="R88" i="2"/>
  <c r="S88" i="2"/>
  <c r="O89" i="2"/>
  <c r="P89" i="2"/>
  <c r="Q89" i="2"/>
  <c r="R89" i="2"/>
  <c r="S89" i="2"/>
  <c r="O90" i="2"/>
  <c r="P90" i="2"/>
  <c r="Q90" i="2"/>
  <c r="R90" i="2"/>
  <c r="S90" i="2"/>
  <c r="O91" i="2"/>
  <c r="P91" i="2"/>
  <c r="Q91" i="2"/>
  <c r="R91" i="2"/>
  <c r="S91" i="2"/>
  <c r="O92" i="2"/>
  <c r="P92" i="2"/>
  <c r="Q92" i="2"/>
  <c r="R92" i="2"/>
  <c r="S92" i="2"/>
  <c r="O93" i="2"/>
  <c r="P93" i="2"/>
  <c r="Q93" i="2"/>
  <c r="R93" i="2"/>
  <c r="S93" i="2"/>
  <c r="O94" i="2"/>
  <c r="P94" i="2"/>
  <c r="Q94" i="2"/>
  <c r="R94" i="2"/>
  <c r="S94" i="2"/>
  <c r="O95" i="2"/>
  <c r="P95" i="2"/>
  <c r="Q95" i="2"/>
  <c r="R95" i="2"/>
  <c r="S95" i="2"/>
  <c r="O96" i="2"/>
  <c r="P96" i="2"/>
  <c r="Q96" i="2"/>
  <c r="R96" i="2"/>
  <c r="S96" i="2"/>
  <c r="O97" i="2"/>
  <c r="P97" i="2"/>
  <c r="Q97" i="2"/>
  <c r="R97" i="2"/>
  <c r="S97" i="2"/>
  <c r="S50" i="2"/>
  <c r="P50" i="2"/>
  <c r="Q50" i="2"/>
  <c r="O50" i="2"/>
  <c r="AA99" i="2"/>
  <c r="AB99" i="2"/>
  <c r="AC99" i="2"/>
  <c r="AD99" i="2"/>
  <c r="AE99" i="2"/>
  <c r="AF99" i="2"/>
  <c r="AA100" i="2"/>
  <c r="AB100" i="2"/>
  <c r="AC100" i="2"/>
  <c r="AD100" i="2"/>
  <c r="AE100" i="2"/>
  <c r="AF100" i="2"/>
  <c r="AA101" i="2"/>
  <c r="AB101" i="2"/>
  <c r="AC101" i="2"/>
  <c r="AD101" i="2"/>
  <c r="AE101" i="2"/>
  <c r="AF101" i="2"/>
  <c r="AA102" i="2"/>
  <c r="AB102" i="2"/>
  <c r="AC102" i="2"/>
  <c r="AD102" i="2"/>
  <c r="AE102" i="2"/>
  <c r="AF102" i="2"/>
  <c r="AA103" i="2"/>
  <c r="AB103" i="2"/>
  <c r="AC103" i="2"/>
  <c r="AD103" i="2"/>
  <c r="AE103" i="2"/>
  <c r="AF103" i="2"/>
  <c r="AA104" i="2"/>
  <c r="AB104" i="2"/>
  <c r="AC104" i="2"/>
  <c r="AD104" i="2"/>
  <c r="AE104" i="2"/>
  <c r="AF104" i="2"/>
  <c r="AA105" i="2"/>
  <c r="AB105" i="2"/>
  <c r="AC105" i="2"/>
  <c r="AD105" i="2"/>
  <c r="AE105" i="2"/>
  <c r="AF105" i="2"/>
  <c r="AA106" i="2"/>
  <c r="AB106" i="2"/>
  <c r="AC106" i="2"/>
  <c r="AD106" i="2"/>
  <c r="AE106" i="2"/>
  <c r="AF106" i="2"/>
  <c r="AA107" i="2"/>
  <c r="AB107" i="2"/>
  <c r="AC107" i="2"/>
  <c r="AD107" i="2"/>
  <c r="AE107" i="2"/>
  <c r="AF107" i="2"/>
  <c r="AA108" i="2"/>
  <c r="AB108" i="2"/>
  <c r="AC108" i="2"/>
  <c r="AD108" i="2"/>
  <c r="AE108" i="2"/>
  <c r="AF108" i="2"/>
  <c r="AA109" i="2"/>
  <c r="AB109" i="2"/>
  <c r="AC109" i="2"/>
  <c r="AD109" i="2"/>
  <c r="AE109" i="2"/>
  <c r="AF109" i="2"/>
  <c r="AA110" i="2"/>
  <c r="AB110" i="2"/>
  <c r="AC110" i="2"/>
  <c r="AD110" i="2"/>
  <c r="AE110" i="2"/>
  <c r="AF110" i="2"/>
  <c r="AA111" i="2"/>
  <c r="AB111" i="2"/>
  <c r="AC111" i="2"/>
  <c r="AD111" i="2"/>
  <c r="AE111" i="2"/>
  <c r="AF111" i="2"/>
  <c r="AA112" i="2"/>
  <c r="AB112" i="2"/>
  <c r="AC112" i="2"/>
  <c r="AD112" i="2"/>
  <c r="AE112" i="2"/>
  <c r="AF112" i="2"/>
  <c r="AA113" i="2"/>
  <c r="AB113" i="2"/>
  <c r="AC113" i="2"/>
  <c r="AD113" i="2"/>
  <c r="AE113" i="2"/>
  <c r="AF113" i="2"/>
  <c r="AA114" i="2"/>
  <c r="AB114" i="2"/>
  <c r="AC114" i="2"/>
  <c r="AD114" i="2"/>
  <c r="AE114" i="2"/>
  <c r="AF114" i="2"/>
  <c r="AA115" i="2"/>
  <c r="AB115" i="2"/>
  <c r="AC115" i="2"/>
  <c r="AD115" i="2"/>
  <c r="AE115" i="2"/>
  <c r="AF115" i="2"/>
  <c r="AA116" i="2"/>
  <c r="AB116" i="2"/>
  <c r="AC116" i="2"/>
  <c r="AD116" i="2"/>
  <c r="AE116" i="2"/>
  <c r="AF116" i="2"/>
  <c r="AA117" i="2"/>
  <c r="AB117" i="2"/>
  <c r="AC117" i="2"/>
  <c r="AD117" i="2"/>
  <c r="AE117" i="2"/>
  <c r="AF117" i="2"/>
  <c r="AA118" i="2"/>
  <c r="AB118" i="2"/>
  <c r="AC118" i="2"/>
  <c r="AD118" i="2"/>
  <c r="AE118" i="2"/>
  <c r="AF118" i="2"/>
  <c r="AA119" i="2"/>
  <c r="AB119" i="2"/>
  <c r="AC119" i="2"/>
  <c r="AD119" i="2"/>
  <c r="AE119" i="2"/>
  <c r="AF119" i="2"/>
  <c r="AA120" i="2"/>
  <c r="AB120" i="2"/>
  <c r="AC120" i="2"/>
  <c r="AD120" i="2"/>
  <c r="AE120" i="2"/>
  <c r="AF120" i="2"/>
  <c r="AA121" i="2"/>
  <c r="AB121" i="2"/>
  <c r="AC121" i="2"/>
  <c r="AD121" i="2"/>
  <c r="AE121" i="2"/>
  <c r="AF121" i="2"/>
  <c r="AA122" i="2"/>
  <c r="AB122" i="2"/>
  <c r="AC122" i="2"/>
  <c r="AD122" i="2"/>
  <c r="AE122" i="2"/>
  <c r="AF122" i="2"/>
  <c r="AA123" i="2"/>
  <c r="AB123" i="2"/>
  <c r="AC123" i="2"/>
  <c r="AD123" i="2"/>
  <c r="AE123" i="2"/>
  <c r="AF123" i="2"/>
  <c r="AA124" i="2"/>
  <c r="AB124" i="2"/>
  <c r="AC124" i="2"/>
  <c r="AD124" i="2"/>
  <c r="AE124" i="2"/>
  <c r="AF124" i="2"/>
  <c r="AA125" i="2"/>
  <c r="AB125" i="2"/>
  <c r="AC125" i="2"/>
  <c r="AD125" i="2"/>
  <c r="AE125" i="2"/>
  <c r="AF125" i="2"/>
  <c r="AA126" i="2"/>
  <c r="AB126" i="2"/>
  <c r="AC126" i="2"/>
  <c r="AD126" i="2"/>
  <c r="AE126" i="2"/>
  <c r="AF126" i="2"/>
  <c r="AA127" i="2"/>
  <c r="AB127" i="2"/>
  <c r="AC127" i="2"/>
  <c r="AD127" i="2"/>
  <c r="AE127" i="2"/>
  <c r="AF127" i="2"/>
  <c r="AA128" i="2"/>
  <c r="AB128" i="2"/>
  <c r="AC128" i="2"/>
  <c r="AD128" i="2"/>
  <c r="AE128" i="2"/>
  <c r="AF128" i="2"/>
  <c r="AA129" i="2"/>
  <c r="AB129" i="2"/>
  <c r="AC129" i="2"/>
  <c r="AD129" i="2"/>
  <c r="AE129" i="2"/>
  <c r="AF129" i="2"/>
  <c r="AA130" i="2"/>
  <c r="AB130" i="2"/>
  <c r="AC130" i="2"/>
  <c r="AD130" i="2"/>
  <c r="AE130" i="2"/>
  <c r="AF130" i="2"/>
  <c r="AA131" i="2"/>
  <c r="AB131" i="2"/>
  <c r="AC131" i="2"/>
  <c r="AD131" i="2"/>
  <c r="AE131" i="2"/>
  <c r="AF131" i="2"/>
  <c r="AA132" i="2"/>
  <c r="AB132" i="2"/>
  <c r="AC132" i="2"/>
  <c r="AD132" i="2"/>
  <c r="AE132" i="2"/>
  <c r="AF132" i="2"/>
  <c r="AA133" i="2"/>
  <c r="AB133" i="2"/>
  <c r="AC133" i="2"/>
  <c r="AD133" i="2"/>
  <c r="AE133" i="2"/>
  <c r="AF133" i="2"/>
  <c r="AA134" i="2"/>
  <c r="AB134" i="2"/>
  <c r="AC134" i="2"/>
  <c r="AD134" i="2"/>
  <c r="AE134" i="2"/>
  <c r="AF134" i="2"/>
  <c r="AA135" i="2"/>
  <c r="AB135" i="2"/>
  <c r="AC135" i="2"/>
  <c r="AD135" i="2"/>
  <c r="AE135" i="2"/>
  <c r="AF135" i="2"/>
  <c r="AA136" i="2"/>
  <c r="AB136" i="2"/>
  <c r="AC136" i="2"/>
  <c r="AD136" i="2"/>
  <c r="AE136" i="2"/>
  <c r="AF136" i="2"/>
  <c r="AA137" i="2"/>
  <c r="AB137" i="2"/>
  <c r="AC137" i="2"/>
  <c r="AD137" i="2"/>
  <c r="AE137" i="2"/>
  <c r="AF137" i="2"/>
  <c r="AA138" i="2"/>
  <c r="AB138" i="2"/>
  <c r="AC138" i="2"/>
  <c r="AD138" i="2"/>
  <c r="AE138" i="2"/>
  <c r="AF138" i="2"/>
  <c r="AA139" i="2"/>
  <c r="AB139" i="2"/>
  <c r="AC139" i="2"/>
  <c r="AD139" i="2"/>
  <c r="AE139" i="2"/>
  <c r="AF139" i="2"/>
  <c r="AA140" i="2"/>
  <c r="AB140" i="2"/>
  <c r="AC140" i="2"/>
  <c r="AD140" i="2"/>
  <c r="AE140" i="2"/>
  <c r="AF140" i="2"/>
  <c r="AA141" i="2"/>
  <c r="AB141" i="2"/>
  <c r="AC141" i="2"/>
  <c r="AD141" i="2"/>
  <c r="AE141" i="2"/>
  <c r="AF141" i="2"/>
  <c r="AA142" i="2"/>
  <c r="AB142" i="2"/>
  <c r="AC142" i="2"/>
  <c r="AD142" i="2"/>
  <c r="AE142" i="2"/>
  <c r="AF142" i="2"/>
  <c r="AA143" i="2"/>
  <c r="AB143" i="2"/>
  <c r="AC143" i="2"/>
  <c r="AD143" i="2"/>
  <c r="AE143" i="2"/>
  <c r="AF143" i="2"/>
  <c r="AA144" i="2"/>
  <c r="AB144" i="2"/>
  <c r="AC144" i="2"/>
  <c r="AD144" i="2"/>
  <c r="AE144" i="2"/>
  <c r="AF144" i="2"/>
  <c r="AA145" i="2"/>
  <c r="AB145" i="2"/>
  <c r="AC145" i="2"/>
  <c r="AD145" i="2"/>
  <c r="AE145" i="2"/>
  <c r="AF145" i="2"/>
  <c r="AB98" i="2"/>
  <c r="AC98" i="2"/>
  <c r="AD98" i="2"/>
  <c r="AE98" i="2"/>
  <c r="AF98" i="2"/>
  <c r="AA98" i="2"/>
  <c r="AA51" i="2"/>
  <c r="AB51" i="2"/>
  <c r="AC51" i="2"/>
  <c r="AD51" i="2"/>
  <c r="AE51" i="2"/>
  <c r="AF51" i="2"/>
  <c r="AA52" i="2"/>
  <c r="AB52" i="2"/>
  <c r="AC52" i="2"/>
  <c r="AD52" i="2"/>
  <c r="AE52" i="2"/>
  <c r="AF52" i="2"/>
  <c r="AA53" i="2"/>
  <c r="AB53" i="2"/>
  <c r="AC53" i="2"/>
  <c r="AD53" i="2"/>
  <c r="AE53" i="2"/>
  <c r="AF53" i="2"/>
  <c r="AA54" i="2"/>
  <c r="AB54" i="2"/>
  <c r="AC54" i="2"/>
  <c r="AD54" i="2"/>
  <c r="AE54" i="2"/>
  <c r="AF54" i="2"/>
  <c r="AA55" i="2"/>
  <c r="AB55" i="2"/>
  <c r="AC55" i="2"/>
  <c r="AD55" i="2"/>
  <c r="AE55" i="2"/>
  <c r="AF55" i="2"/>
  <c r="AA56" i="2"/>
  <c r="AB56" i="2"/>
  <c r="AC56" i="2"/>
  <c r="AD56" i="2"/>
  <c r="AE56" i="2"/>
  <c r="AF56" i="2"/>
  <c r="AA57" i="2"/>
  <c r="AB57" i="2"/>
  <c r="AC57" i="2"/>
  <c r="AD57" i="2"/>
  <c r="AE57" i="2"/>
  <c r="AF57" i="2"/>
  <c r="AA58" i="2"/>
  <c r="AB58" i="2"/>
  <c r="AC58" i="2"/>
  <c r="AD58" i="2"/>
  <c r="AE58" i="2"/>
  <c r="AF58" i="2"/>
  <c r="AA59" i="2"/>
  <c r="AB59" i="2"/>
  <c r="AC59" i="2"/>
  <c r="AD59" i="2"/>
  <c r="AE59" i="2"/>
  <c r="AF59" i="2"/>
  <c r="AA60" i="2"/>
  <c r="AB60" i="2"/>
  <c r="AC60" i="2"/>
  <c r="AD60" i="2"/>
  <c r="AE60" i="2"/>
  <c r="AF60" i="2"/>
  <c r="AA61" i="2"/>
  <c r="AB61" i="2"/>
  <c r="AC61" i="2"/>
  <c r="AD61" i="2"/>
  <c r="AE61" i="2"/>
  <c r="AF61" i="2"/>
  <c r="AA62" i="2"/>
  <c r="AB62" i="2"/>
  <c r="AC62" i="2"/>
  <c r="AD62" i="2"/>
  <c r="AE62" i="2"/>
  <c r="AF62" i="2"/>
  <c r="AA63" i="2"/>
  <c r="AB63" i="2"/>
  <c r="AC63" i="2"/>
  <c r="AD63" i="2"/>
  <c r="AE63" i="2"/>
  <c r="AF63" i="2"/>
  <c r="AA64" i="2"/>
  <c r="AB64" i="2"/>
  <c r="AC64" i="2"/>
  <c r="AD64" i="2"/>
  <c r="AE64" i="2"/>
  <c r="AF64" i="2"/>
  <c r="AA65" i="2"/>
  <c r="AB65" i="2"/>
  <c r="AC65" i="2"/>
  <c r="AD65" i="2"/>
  <c r="AE65" i="2"/>
  <c r="AF65" i="2"/>
  <c r="AA66" i="2"/>
  <c r="AB66" i="2"/>
  <c r="AC66" i="2"/>
  <c r="AD66" i="2"/>
  <c r="AE66" i="2"/>
  <c r="AF66" i="2"/>
  <c r="AA67" i="2"/>
  <c r="AB67" i="2"/>
  <c r="AC67" i="2"/>
  <c r="AD67" i="2"/>
  <c r="AE67" i="2"/>
  <c r="AF67" i="2"/>
  <c r="AA68" i="2"/>
  <c r="AB68" i="2"/>
  <c r="AC68" i="2"/>
  <c r="AD68" i="2"/>
  <c r="AE68" i="2"/>
  <c r="AF68" i="2"/>
  <c r="AA69" i="2"/>
  <c r="AB69" i="2"/>
  <c r="AC69" i="2"/>
  <c r="AD69" i="2"/>
  <c r="AE69" i="2"/>
  <c r="AF69" i="2"/>
  <c r="AA70" i="2"/>
  <c r="AB70" i="2"/>
  <c r="AC70" i="2"/>
  <c r="AD70" i="2"/>
  <c r="AE70" i="2"/>
  <c r="AF70" i="2"/>
  <c r="AA71" i="2"/>
  <c r="AB71" i="2"/>
  <c r="AC71" i="2"/>
  <c r="AD71" i="2"/>
  <c r="AE71" i="2"/>
  <c r="AF71" i="2"/>
  <c r="AA72" i="2"/>
  <c r="AB72" i="2"/>
  <c r="AC72" i="2"/>
  <c r="AD72" i="2"/>
  <c r="AE72" i="2"/>
  <c r="AF72" i="2"/>
  <c r="AA73" i="2"/>
  <c r="AB73" i="2"/>
  <c r="AC73" i="2"/>
  <c r="AD73" i="2"/>
  <c r="AE73" i="2"/>
  <c r="AF73" i="2"/>
  <c r="AA74" i="2"/>
  <c r="AB74" i="2"/>
  <c r="AC74" i="2"/>
  <c r="AD74" i="2"/>
  <c r="AE74" i="2"/>
  <c r="AF74" i="2"/>
  <c r="AA75" i="2"/>
  <c r="AB75" i="2"/>
  <c r="AC75" i="2"/>
  <c r="AD75" i="2"/>
  <c r="AE75" i="2"/>
  <c r="AF75" i="2"/>
  <c r="AA76" i="2"/>
  <c r="AB76" i="2"/>
  <c r="AC76" i="2"/>
  <c r="AD76" i="2"/>
  <c r="AE76" i="2"/>
  <c r="AF76" i="2"/>
  <c r="AA77" i="2"/>
  <c r="AB77" i="2"/>
  <c r="AC77" i="2"/>
  <c r="AD77" i="2"/>
  <c r="AE77" i="2"/>
  <c r="AF77" i="2"/>
  <c r="AA78" i="2"/>
  <c r="AB78" i="2"/>
  <c r="AC78" i="2"/>
  <c r="AD78" i="2"/>
  <c r="AE78" i="2"/>
  <c r="AF78" i="2"/>
  <c r="AA79" i="2"/>
  <c r="AB79" i="2"/>
  <c r="AC79" i="2"/>
  <c r="AD79" i="2"/>
  <c r="AE79" i="2"/>
  <c r="AF79" i="2"/>
  <c r="AA80" i="2"/>
  <c r="AB80" i="2"/>
  <c r="AC80" i="2"/>
  <c r="AD80" i="2"/>
  <c r="AE80" i="2"/>
  <c r="AF80" i="2"/>
  <c r="AA81" i="2"/>
  <c r="AB81" i="2"/>
  <c r="AC81" i="2"/>
  <c r="AD81" i="2"/>
  <c r="AE81" i="2"/>
  <c r="AF81" i="2"/>
  <c r="AA82" i="2"/>
  <c r="AB82" i="2"/>
  <c r="AC82" i="2"/>
  <c r="AD82" i="2"/>
  <c r="AE82" i="2"/>
  <c r="AF82" i="2"/>
  <c r="AA83" i="2"/>
  <c r="AB83" i="2"/>
  <c r="AC83" i="2"/>
  <c r="AD83" i="2"/>
  <c r="AE83" i="2"/>
  <c r="AF83" i="2"/>
  <c r="AA84" i="2"/>
  <c r="AB84" i="2"/>
  <c r="AC84" i="2"/>
  <c r="AD84" i="2"/>
  <c r="AE84" i="2"/>
  <c r="AF84" i="2"/>
  <c r="AA85" i="2"/>
  <c r="AB85" i="2"/>
  <c r="AC85" i="2"/>
  <c r="AD85" i="2"/>
  <c r="AE85" i="2"/>
  <c r="AF85" i="2"/>
  <c r="AA86" i="2"/>
  <c r="AB86" i="2"/>
  <c r="AC86" i="2"/>
  <c r="AD86" i="2"/>
  <c r="AE86" i="2"/>
  <c r="AF86" i="2"/>
  <c r="AA87" i="2"/>
  <c r="AB87" i="2"/>
  <c r="AC87" i="2"/>
  <c r="AD87" i="2"/>
  <c r="AE87" i="2"/>
  <c r="AF87" i="2"/>
  <c r="AA88" i="2"/>
  <c r="AB88" i="2"/>
  <c r="AC88" i="2"/>
  <c r="AD88" i="2"/>
  <c r="AE88" i="2"/>
  <c r="AF88" i="2"/>
  <c r="AA89" i="2"/>
  <c r="AB89" i="2"/>
  <c r="AC89" i="2"/>
  <c r="AD89" i="2"/>
  <c r="AE89" i="2"/>
  <c r="AF89" i="2"/>
  <c r="AA90" i="2"/>
  <c r="AB90" i="2"/>
  <c r="AC90" i="2"/>
  <c r="AD90" i="2"/>
  <c r="AE90" i="2"/>
  <c r="AF90" i="2"/>
  <c r="AA91" i="2"/>
  <c r="AB91" i="2"/>
  <c r="AC91" i="2"/>
  <c r="AD91" i="2"/>
  <c r="AE91" i="2"/>
  <c r="AF91" i="2"/>
  <c r="AA92" i="2"/>
  <c r="AB92" i="2"/>
  <c r="AC92" i="2"/>
  <c r="AD92" i="2"/>
  <c r="AE92" i="2"/>
  <c r="AF92" i="2"/>
  <c r="AA93" i="2"/>
  <c r="AB93" i="2"/>
  <c r="AC93" i="2"/>
  <c r="AD93" i="2"/>
  <c r="AE93" i="2"/>
  <c r="AF93" i="2"/>
  <c r="AA94" i="2"/>
  <c r="AB94" i="2"/>
  <c r="AC94" i="2"/>
  <c r="AD94" i="2"/>
  <c r="AE94" i="2"/>
  <c r="AF94" i="2"/>
  <c r="AA95" i="2"/>
  <c r="AB95" i="2"/>
  <c r="AC95" i="2"/>
  <c r="AD95" i="2"/>
  <c r="AE95" i="2"/>
  <c r="AF95" i="2"/>
  <c r="AA96" i="2"/>
  <c r="AB96" i="2"/>
  <c r="AC96" i="2"/>
  <c r="AD96" i="2"/>
  <c r="AE96" i="2"/>
  <c r="AF96" i="2"/>
  <c r="AA97" i="2"/>
  <c r="AB97" i="2"/>
  <c r="AC97" i="2"/>
  <c r="AD97" i="2"/>
  <c r="AE97" i="2"/>
  <c r="AF97" i="2"/>
  <c r="AF50" i="2"/>
  <c r="AE50" i="2"/>
  <c r="AC50" i="2"/>
  <c r="AD50" i="2"/>
  <c r="AB50" i="2"/>
  <c r="AA50" i="2"/>
  <c r="AA3" i="2"/>
  <c r="AB3" i="2"/>
  <c r="AC3" i="2"/>
  <c r="AD3" i="2"/>
  <c r="AE3" i="2"/>
  <c r="AF3" i="2"/>
  <c r="AA4" i="2"/>
  <c r="AB4" i="2"/>
  <c r="AC4" i="2"/>
  <c r="AD4" i="2"/>
  <c r="AE4" i="2"/>
  <c r="AF4" i="2"/>
  <c r="AA5" i="2"/>
  <c r="AB5" i="2"/>
  <c r="AC5" i="2"/>
  <c r="AD5" i="2"/>
  <c r="AE5" i="2"/>
  <c r="AF5" i="2"/>
  <c r="AA6" i="2"/>
  <c r="AB6" i="2"/>
  <c r="AC6" i="2"/>
  <c r="AD6" i="2"/>
  <c r="AE6" i="2"/>
  <c r="AF6" i="2"/>
  <c r="AA7" i="2"/>
  <c r="AB7" i="2"/>
  <c r="AC7" i="2"/>
  <c r="AD7" i="2"/>
  <c r="AE7" i="2"/>
  <c r="AF7" i="2"/>
  <c r="AA8" i="2"/>
  <c r="AB8" i="2"/>
  <c r="AC8" i="2"/>
  <c r="AD8" i="2"/>
  <c r="AE8" i="2"/>
  <c r="AF8" i="2"/>
  <c r="AA9" i="2"/>
  <c r="AB9" i="2"/>
  <c r="AC9" i="2"/>
  <c r="AD9" i="2"/>
  <c r="AE9" i="2"/>
  <c r="AF9" i="2"/>
  <c r="AA10" i="2"/>
  <c r="AB10" i="2"/>
  <c r="AC10" i="2"/>
  <c r="AD10" i="2"/>
  <c r="AE10" i="2"/>
  <c r="AF10" i="2"/>
  <c r="AA11" i="2"/>
  <c r="AB11" i="2"/>
  <c r="AC11" i="2"/>
  <c r="AD11" i="2"/>
  <c r="AE11" i="2"/>
  <c r="AF11" i="2"/>
  <c r="AA12" i="2"/>
  <c r="AB12" i="2"/>
  <c r="AC12" i="2"/>
  <c r="AD12" i="2"/>
  <c r="AE12" i="2"/>
  <c r="AF12" i="2"/>
  <c r="AA13" i="2"/>
  <c r="AB13" i="2"/>
  <c r="AC13" i="2"/>
  <c r="AD13" i="2"/>
  <c r="AE13" i="2"/>
  <c r="AF13" i="2"/>
  <c r="AA14" i="2"/>
  <c r="AB14" i="2"/>
  <c r="AC14" i="2"/>
  <c r="AD14" i="2"/>
  <c r="AE14" i="2"/>
  <c r="AF14" i="2"/>
  <c r="AA15" i="2"/>
  <c r="AB15" i="2"/>
  <c r="AC15" i="2"/>
  <c r="AD15" i="2"/>
  <c r="AE15" i="2"/>
  <c r="AF15" i="2"/>
  <c r="AA16" i="2"/>
  <c r="AB16" i="2"/>
  <c r="AC16" i="2"/>
  <c r="AD16" i="2"/>
  <c r="AE16" i="2"/>
  <c r="AF16" i="2"/>
  <c r="AA17" i="2"/>
  <c r="AB17" i="2"/>
  <c r="AC17" i="2"/>
  <c r="AD17" i="2"/>
  <c r="AE17" i="2"/>
  <c r="AF17" i="2"/>
  <c r="AA18" i="2"/>
  <c r="AB18" i="2"/>
  <c r="AC18" i="2"/>
  <c r="AD18" i="2"/>
  <c r="AE18" i="2"/>
  <c r="AF18" i="2"/>
  <c r="AA19" i="2"/>
  <c r="AB19" i="2"/>
  <c r="AC19" i="2"/>
  <c r="AD19" i="2"/>
  <c r="AE19" i="2"/>
  <c r="AF19" i="2"/>
  <c r="AA20" i="2"/>
  <c r="AB20" i="2"/>
  <c r="AC20" i="2"/>
  <c r="AD20" i="2"/>
  <c r="AE20" i="2"/>
  <c r="AF20" i="2"/>
  <c r="AA21" i="2"/>
  <c r="AB21" i="2"/>
  <c r="AC21" i="2"/>
  <c r="AD21" i="2"/>
  <c r="AE21" i="2"/>
  <c r="AF21" i="2"/>
  <c r="AA22" i="2"/>
  <c r="AB22" i="2"/>
  <c r="AC22" i="2"/>
  <c r="AD22" i="2"/>
  <c r="AE22" i="2"/>
  <c r="AF22" i="2"/>
  <c r="AA23" i="2"/>
  <c r="AB23" i="2"/>
  <c r="AC23" i="2"/>
  <c r="AD23" i="2"/>
  <c r="AE23" i="2"/>
  <c r="AF23" i="2"/>
  <c r="AA24" i="2"/>
  <c r="AB24" i="2"/>
  <c r="AC24" i="2"/>
  <c r="AD24" i="2"/>
  <c r="AE24" i="2"/>
  <c r="AF24" i="2"/>
  <c r="AA25" i="2"/>
  <c r="AB25" i="2"/>
  <c r="AC25" i="2"/>
  <c r="AD25" i="2"/>
  <c r="AE25" i="2"/>
  <c r="AF25" i="2"/>
  <c r="AA26" i="2"/>
  <c r="AB26" i="2"/>
  <c r="AC26" i="2"/>
  <c r="AD26" i="2"/>
  <c r="AE26" i="2"/>
  <c r="AF26" i="2"/>
  <c r="AA27" i="2"/>
  <c r="AB27" i="2"/>
  <c r="AC27" i="2"/>
  <c r="AD27" i="2"/>
  <c r="AE27" i="2"/>
  <c r="AF27" i="2"/>
  <c r="AA28" i="2"/>
  <c r="AB28" i="2"/>
  <c r="AC28" i="2"/>
  <c r="AD28" i="2"/>
  <c r="AE28" i="2"/>
  <c r="AF28" i="2"/>
  <c r="AA29" i="2"/>
  <c r="AB29" i="2"/>
  <c r="AC29" i="2"/>
  <c r="AD29" i="2"/>
  <c r="AE29" i="2"/>
  <c r="AF29" i="2"/>
  <c r="AA30" i="2"/>
  <c r="AB30" i="2"/>
  <c r="AC30" i="2"/>
  <c r="AD30" i="2"/>
  <c r="AE30" i="2"/>
  <c r="AF30" i="2"/>
  <c r="AA31" i="2"/>
  <c r="AB31" i="2"/>
  <c r="AC31" i="2"/>
  <c r="AD31" i="2"/>
  <c r="AE31" i="2"/>
  <c r="AF31" i="2"/>
  <c r="AA32" i="2"/>
  <c r="AB32" i="2"/>
  <c r="AC32" i="2"/>
  <c r="AD32" i="2"/>
  <c r="AE32" i="2"/>
  <c r="AF32" i="2"/>
  <c r="AA33" i="2"/>
  <c r="AB33" i="2"/>
  <c r="AC33" i="2"/>
  <c r="AD33" i="2"/>
  <c r="AE33" i="2"/>
  <c r="AF33" i="2"/>
  <c r="AA34" i="2"/>
  <c r="AB34" i="2"/>
  <c r="AC34" i="2"/>
  <c r="AD34" i="2"/>
  <c r="AE34" i="2"/>
  <c r="AF34" i="2"/>
  <c r="AA35" i="2"/>
  <c r="AB35" i="2"/>
  <c r="AC35" i="2"/>
  <c r="AD35" i="2"/>
  <c r="AE35" i="2"/>
  <c r="AF35" i="2"/>
  <c r="AA36" i="2"/>
  <c r="AB36" i="2"/>
  <c r="AC36" i="2"/>
  <c r="AD36" i="2"/>
  <c r="AE36" i="2"/>
  <c r="AF36" i="2"/>
  <c r="AA37" i="2"/>
  <c r="AB37" i="2"/>
  <c r="AC37" i="2"/>
  <c r="AD37" i="2"/>
  <c r="AE37" i="2"/>
  <c r="AF37" i="2"/>
  <c r="AA38" i="2"/>
  <c r="AB38" i="2"/>
  <c r="AC38" i="2"/>
  <c r="AD38" i="2"/>
  <c r="AE38" i="2"/>
  <c r="AF38" i="2"/>
  <c r="AA39" i="2"/>
  <c r="AB39" i="2"/>
  <c r="AC39" i="2"/>
  <c r="AD39" i="2"/>
  <c r="AE39" i="2"/>
  <c r="AF39" i="2"/>
  <c r="AA40" i="2"/>
  <c r="AB40" i="2"/>
  <c r="AC40" i="2"/>
  <c r="AD40" i="2"/>
  <c r="AE40" i="2"/>
  <c r="AF40" i="2"/>
  <c r="AA41" i="2"/>
  <c r="AB41" i="2"/>
  <c r="AC41" i="2"/>
  <c r="AD41" i="2"/>
  <c r="AE41" i="2"/>
  <c r="AF41" i="2"/>
  <c r="AA42" i="2"/>
  <c r="AB42" i="2"/>
  <c r="AC42" i="2"/>
  <c r="AD42" i="2"/>
  <c r="AE42" i="2"/>
  <c r="AF42" i="2"/>
  <c r="AA43" i="2"/>
  <c r="AB43" i="2"/>
  <c r="AC43" i="2"/>
  <c r="AD43" i="2"/>
  <c r="AE43" i="2"/>
  <c r="AF43" i="2"/>
  <c r="AA44" i="2"/>
  <c r="AB44" i="2"/>
  <c r="AC44" i="2"/>
  <c r="AD44" i="2"/>
  <c r="AE44" i="2"/>
  <c r="AF44" i="2"/>
  <c r="AA45" i="2"/>
  <c r="AB45" i="2"/>
  <c r="AC45" i="2"/>
  <c r="AD45" i="2"/>
  <c r="AE45" i="2"/>
  <c r="AF45" i="2"/>
  <c r="AA46" i="2"/>
  <c r="AB46" i="2"/>
  <c r="AC46" i="2"/>
  <c r="AD46" i="2"/>
  <c r="AE46" i="2"/>
  <c r="AF46" i="2"/>
  <c r="AA47" i="2"/>
  <c r="AB47" i="2"/>
  <c r="AC47" i="2"/>
  <c r="AD47" i="2"/>
  <c r="AE47" i="2"/>
  <c r="AF47" i="2"/>
  <c r="AA48" i="2"/>
  <c r="AB48" i="2"/>
  <c r="AC48" i="2"/>
  <c r="AD48" i="2"/>
  <c r="AE48" i="2"/>
  <c r="AF48" i="2"/>
  <c r="AA49" i="2"/>
  <c r="AB49" i="2"/>
  <c r="AC49" i="2"/>
  <c r="AD49" i="2"/>
  <c r="AE49" i="2"/>
  <c r="AF49" i="2"/>
  <c r="AB2" i="2"/>
  <c r="AF2" i="2"/>
  <c r="AD2" i="2"/>
  <c r="AE2" i="2"/>
  <c r="AC2" i="2"/>
  <c r="AA2" i="2"/>
  <c r="T3" i="2"/>
  <c r="U3" i="2"/>
  <c r="V3" i="2"/>
  <c r="W3" i="2"/>
  <c r="Y3" i="2"/>
  <c r="Z3" i="2"/>
  <c r="T4" i="2"/>
  <c r="U4" i="2"/>
  <c r="V4" i="2"/>
  <c r="W4" i="2"/>
  <c r="Y4" i="2"/>
  <c r="Z4" i="2"/>
  <c r="T5" i="2"/>
  <c r="U5" i="2"/>
  <c r="V5" i="2"/>
  <c r="W5" i="2"/>
  <c r="Y5" i="2"/>
  <c r="Z5" i="2"/>
  <c r="T6" i="2"/>
  <c r="U6" i="2"/>
  <c r="V6" i="2"/>
  <c r="W6" i="2"/>
  <c r="Y6" i="2"/>
  <c r="Z6" i="2"/>
  <c r="T7" i="2"/>
  <c r="U7" i="2"/>
  <c r="V7" i="2"/>
  <c r="W7" i="2"/>
  <c r="Y7" i="2"/>
  <c r="Z7" i="2"/>
  <c r="T8" i="2"/>
  <c r="U8" i="2"/>
  <c r="V8" i="2"/>
  <c r="W8" i="2"/>
  <c r="Y8" i="2"/>
  <c r="Z8" i="2"/>
  <c r="T9" i="2"/>
  <c r="U9" i="2"/>
  <c r="V9" i="2"/>
  <c r="W9" i="2"/>
  <c r="Y9" i="2"/>
  <c r="Z9" i="2"/>
  <c r="T10" i="2"/>
  <c r="U10" i="2"/>
  <c r="V10" i="2"/>
  <c r="W10" i="2"/>
  <c r="Y10" i="2"/>
  <c r="Z10" i="2"/>
  <c r="T11" i="2"/>
  <c r="U11" i="2"/>
  <c r="V11" i="2"/>
  <c r="W11" i="2"/>
  <c r="Y11" i="2"/>
  <c r="Z11" i="2"/>
  <c r="T12" i="2"/>
  <c r="U12" i="2"/>
  <c r="V12" i="2"/>
  <c r="W12" i="2"/>
  <c r="Y12" i="2"/>
  <c r="Z12" i="2"/>
  <c r="T13" i="2"/>
  <c r="U13" i="2"/>
  <c r="V13" i="2"/>
  <c r="W13" i="2"/>
  <c r="Y13" i="2"/>
  <c r="Z13" i="2"/>
  <c r="T14" i="2"/>
  <c r="U14" i="2"/>
  <c r="V14" i="2"/>
  <c r="W14" i="2"/>
  <c r="Y14" i="2"/>
  <c r="Z14" i="2"/>
  <c r="T15" i="2"/>
  <c r="U15" i="2"/>
  <c r="V15" i="2"/>
  <c r="W15" i="2"/>
  <c r="Y15" i="2"/>
  <c r="Z15" i="2"/>
  <c r="T16" i="2"/>
  <c r="U16" i="2"/>
  <c r="V16" i="2"/>
  <c r="W16" i="2"/>
  <c r="Y16" i="2"/>
  <c r="Z16" i="2"/>
  <c r="T17" i="2"/>
  <c r="U17" i="2"/>
  <c r="V17" i="2"/>
  <c r="W17" i="2"/>
  <c r="Y17" i="2"/>
  <c r="Z17" i="2"/>
  <c r="T18" i="2"/>
  <c r="U18" i="2"/>
  <c r="V18" i="2"/>
  <c r="W18" i="2"/>
  <c r="Y18" i="2"/>
  <c r="Z18" i="2"/>
  <c r="T19" i="2"/>
  <c r="U19" i="2"/>
  <c r="V19" i="2"/>
  <c r="W19" i="2"/>
  <c r="Y19" i="2"/>
  <c r="Z19" i="2"/>
  <c r="T20" i="2"/>
  <c r="U20" i="2"/>
  <c r="V20" i="2"/>
  <c r="W20" i="2"/>
  <c r="Y20" i="2"/>
  <c r="Z20" i="2"/>
  <c r="T21" i="2"/>
  <c r="U21" i="2"/>
  <c r="V21" i="2"/>
  <c r="W21" i="2"/>
  <c r="Y21" i="2"/>
  <c r="Z21" i="2"/>
  <c r="T22" i="2"/>
  <c r="U22" i="2"/>
  <c r="V22" i="2"/>
  <c r="W22" i="2"/>
  <c r="Y22" i="2"/>
  <c r="Z22" i="2"/>
  <c r="T23" i="2"/>
  <c r="U23" i="2"/>
  <c r="V23" i="2"/>
  <c r="W23" i="2"/>
  <c r="Y23" i="2"/>
  <c r="Z23" i="2"/>
  <c r="T24" i="2"/>
  <c r="U24" i="2"/>
  <c r="V24" i="2"/>
  <c r="W24" i="2"/>
  <c r="Y24" i="2"/>
  <c r="Z24" i="2"/>
  <c r="T25" i="2"/>
  <c r="U25" i="2"/>
  <c r="V25" i="2"/>
  <c r="W25" i="2"/>
  <c r="Y25" i="2"/>
  <c r="Z25" i="2"/>
  <c r="T26" i="2"/>
  <c r="U26" i="2"/>
  <c r="V26" i="2"/>
  <c r="W26" i="2"/>
  <c r="Y26" i="2"/>
  <c r="Z26" i="2"/>
  <c r="T27" i="2"/>
  <c r="U27" i="2"/>
  <c r="V27" i="2"/>
  <c r="W27" i="2"/>
  <c r="Y27" i="2"/>
  <c r="Z27" i="2"/>
  <c r="T28" i="2"/>
  <c r="U28" i="2"/>
  <c r="V28" i="2"/>
  <c r="W28" i="2"/>
  <c r="Y28" i="2"/>
  <c r="Z28" i="2"/>
  <c r="T29" i="2"/>
  <c r="U29" i="2"/>
  <c r="V29" i="2"/>
  <c r="W29" i="2"/>
  <c r="Y29" i="2"/>
  <c r="Z29" i="2"/>
  <c r="T30" i="2"/>
  <c r="U30" i="2"/>
  <c r="V30" i="2"/>
  <c r="W30" i="2"/>
  <c r="Y30" i="2"/>
  <c r="Z30" i="2"/>
  <c r="T31" i="2"/>
  <c r="U31" i="2"/>
  <c r="V31" i="2"/>
  <c r="W31" i="2"/>
  <c r="Y31" i="2"/>
  <c r="Z31" i="2"/>
  <c r="T32" i="2"/>
  <c r="U32" i="2"/>
  <c r="V32" i="2"/>
  <c r="W32" i="2"/>
  <c r="Y32" i="2"/>
  <c r="Z32" i="2"/>
  <c r="T33" i="2"/>
  <c r="U33" i="2"/>
  <c r="V33" i="2"/>
  <c r="W33" i="2"/>
  <c r="Y33" i="2"/>
  <c r="Z33" i="2"/>
  <c r="T34" i="2"/>
  <c r="U34" i="2"/>
  <c r="V34" i="2"/>
  <c r="W34" i="2"/>
  <c r="Y34" i="2"/>
  <c r="Z34" i="2"/>
  <c r="T35" i="2"/>
  <c r="U35" i="2"/>
  <c r="V35" i="2"/>
  <c r="W35" i="2"/>
  <c r="X35" i="2"/>
  <c r="Y35" i="2"/>
  <c r="Z35" i="2"/>
  <c r="T36" i="2"/>
  <c r="U36" i="2"/>
  <c r="V36" i="2"/>
  <c r="W36" i="2"/>
  <c r="Y36" i="2"/>
  <c r="Z36" i="2"/>
  <c r="T37" i="2"/>
  <c r="U37" i="2"/>
  <c r="V37" i="2"/>
  <c r="W37" i="2"/>
  <c r="Y37" i="2"/>
  <c r="Z37" i="2"/>
  <c r="T38" i="2"/>
  <c r="U38" i="2"/>
  <c r="V38" i="2"/>
  <c r="W38" i="2"/>
  <c r="Y38" i="2"/>
  <c r="Z38" i="2"/>
  <c r="T39" i="2"/>
  <c r="U39" i="2"/>
  <c r="V39" i="2"/>
  <c r="W39" i="2"/>
  <c r="Y39" i="2"/>
  <c r="Z39" i="2"/>
  <c r="T40" i="2"/>
  <c r="U40" i="2"/>
  <c r="V40" i="2"/>
  <c r="W40" i="2"/>
  <c r="X40" i="2"/>
  <c r="Y40" i="2"/>
  <c r="Z40" i="2"/>
  <c r="T41" i="2"/>
  <c r="U41" i="2"/>
  <c r="V41" i="2"/>
  <c r="W41" i="2"/>
  <c r="Y41" i="2"/>
  <c r="Z41" i="2"/>
  <c r="T42" i="2"/>
  <c r="U42" i="2"/>
  <c r="V42" i="2"/>
  <c r="W42" i="2"/>
  <c r="Y42" i="2"/>
  <c r="Z42" i="2"/>
  <c r="T43" i="2"/>
  <c r="U43" i="2"/>
  <c r="V43" i="2"/>
  <c r="W43" i="2"/>
  <c r="Y43" i="2"/>
  <c r="Z43" i="2"/>
  <c r="T44" i="2"/>
  <c r="U44" i="2"/>
  <c r="V44" i="2"/>
  <c r="W44" i="2"/>
  <c r="X44" i="2"/>
  <c r="Y44" i="2"/>
  <c r="Z44" i="2"/>
  <c r="T45" i="2"/>
  <c r="U45" i="2"/>
  <c r="V45" i="2"/>
  <c r="W45" i="2"/>
  <c r="Y45" i="2"/>
  <c r="Z45" i="2"/>
  <c r="T46" i="2"/>
  <c r="U46" i="2"/>
  <c r="V46" i="2"/>
  <c r="W46" i="2"/>
  <c r="Y46" i="2"/>
  <c r="Z46" i="2"/>
  <c r="T47" i="2"/>
  <c r="U47" i="2"/>
  <c r="V47" i="2"/>
  <c r="W47" i="2"/>
  <c r="Y47" i="2"/>
  <c r="Z47" i="2"/>
  <c r="T48" i="2"/>
  <c r="U48" i="2"/>
  <c r="V48" i="2"/>
  <c r="W48" i="2"/>
  <c r="Y48" i="2"/>
  <c r="Z48" i="2"/>
  <c r="T49" i="2"/>
  <c r="U49" i="2"/>
  <c r="V49" i="2"/>
  <c r="W49" i="2"/>
  <c r="X49" i="2"/>
  <c r="Y49" i="2"/>
  <c r="Z49" i="2"/>
  <c r="Z2" i="2"/>
  <c r="Y2" i="2"/>
  <c r="U2" i="2"/>
  <c r="V2" i="2"/>
  <c r="W2" i="2"/>
  <c r="X2" i="2"/>
  <c r="T2" i="2"/>
  <c r="O3" i="2"/>
  <c r="P3" i="2"/>
  <c r="Q3" i="2"/>
  <c r="R3" i="2"/>
  <c r="S3" i="2"/>
  <c r="O4" i="2"/>
  <c r="P4" i="2"/>
  <c r="Q4" i="2"/>
  <c r="R4" i="2"/>
  <c r="S4" i="2"/>
  <c r="O5" i="2"/>
  <c r="P5" i="2"/>
  <c r="Q5" i="2"/>
  <c r="R5" i="2"/>
  <c r="S5" i="2"/>
  <c r="O6" i="2"/>
  <c r="P6" i="2"/>
  <c r="Q6" i="2"/>
  <c r="R6" i="2"/>
  <c r="S6" i="2"/>
  <c r="O7" i="2"/>
  <c r="P7" i="2"/>
  <c r="Q7" i="2"/>
  <c r="R7" i="2"/>
  <c r="S7" i="2"/>
  <c r="O8" i="2"/>
  <c r="P8" i="2"/>
  <c r="Q8" i="2"/>
  <c r="R8" i="2"/>
  <c r="S8" i="2"/>
  <c r="O9" i="2"/>
  <c r="P9" i="2"/>
  <c r="Q9" i="2"/>
  <c r="R9" i="2"/>
  <c r="S9" i="2"/>
  <c r="O10" i="2"/>
  <c r="P10" i="2"/>
  <c r="Q10" i="2"/>
  <c r="R10" i="2"/>
  <c r="S10" i="2"/>
  <c r="O11" i="2"/>
  <c r="P11" i="2"/>
  <c r="Q11" i="2"/>
  <c r="R11" i="2"/>
  <c r="S11" i="2"/>
  <c r="O12" i="2"/>
  <c r="P12" i="2"/>
  <c r="Q12" i="2"/>
  <c r="R12" i="2"/>
  <c r="S12" i="2"/>
  <c r="O13" i="2"/>
  <c r="P13" i="2"/>
  <c r="Q13" i="2"/>
  <c r="R13" i="2"/>
  <c r="S13" i="2"/>
  <c r="O14" i="2"/>
  <c r="P14" i="2"/>
  <c r="Q14" i="2"/>
  <c r="R14" i="2"/>
  <c r="S14" i="2"/>
  <c r="O15" i="2"/>
  <c r="P15" i="2"/>
  <c r="Q15" i="2"/>
  <c r="R15" i="2"/>
  <c r="S15" i="2"/>
  <c r="O16" i="2"/>
  <c r="P16" i="2"/>
  <c r="Q16" i="2"/>
  <c r="R16" i="2"/>
  <c r="S16" i="2"/>
  <c r="O17" i="2"/>
  <c r="P17" i="2"/>
  <c r="Q17" i="2"/>
  <c r="R17" i="2"/>
  <c r="S17" i="2"/>
  <c r="O18" i="2"/>
  <c r="P18" i="2"/>
  <c r="Q18" i="2"/>
  <c r="R18" i="2"/>
  <c r="S18" i="2"/>
  <c r="O19" i="2"/>
  <c r="P19" i="2"/>
  <c r="Q19" i="2"/>
  <c r="R19" i="2"/>
  <c r="S19" i="2"/>
  <c r="O20" i="2"/>
  <c r="P20" i="2"/>
  <c r="Q20" i="2"/>
  <c r="R20" i="2"/>
  <c r="S20" i="2"/>
  <c r="O21" i="2"/>
  <c r="P21" i="2"/>
  <c r="Q21" i="2"/>
  <c r="R21" i="2"/>
  <c r="S21" i="2"/>
  <c r="O22" i="2"/>
  <c r="P22" i="2"/>
  <c r="Q22" i="2"/>
  <c r="R22" i="2"/>
  <c r="S22" i="2"/>
  <c r="O23" i="2"/>
  <c r="P23" i="2"/>
  <c r="Q23" i="2"/>
  <c r="R23" i="2"/>
  <c r="S23" i="2"/>
  <c r="O24" i="2"/>
  <c r="P24" i="2"/>
  <c r="Q24" i="2"/>
  <c r="R24" i="2"/>
  <c r="S24" i="2"/>
  <c r="O25" i="2"/>
  <c r="P25" i="2"/>
  <c r="Q25" i="2"/>
  <c r="R25" i="2"/>
  <c r="S25" i="2"/>
  <c r="O26" i="2"/>
  <c r="P26" i="2"/>
  <c r="Q26" i="2"/>
  <c r="R26" i="2"/>
  <c r="S26" i="2"/>
  <c r="O27" i="2"/>
  <c r="P27" i="2"/>
  <c r="Q27" i="2"/>
  <c r="R27" i="2"/>
  <c r="S27" i="2"/>
  <c r="O28" i="2"/>
  <c r="P28" i="2"/>
  <c r="Q28" i="2"/>
  <c r="R28" i="2"/>
  <c r="S28" i="2"/>
  <c r="O29" i="2"/>
  <c r="P29" i="2"/>
  <c r="Q29" i="2"/>
  <c r="R29" i="2"/>
  <c r="S29" i="2"/>
  <c r="O30" i="2"/>
  <c r="P30" i="2"/>
  <c r="Q30" i="2"/>
  <c r="R30" i="2"/>
  <c r="S30" i="2"/>
  <c r="O31" i="2"/>
  <c r="P31" i="2"/>
  <c r="Q31" i="2"/>
  <c r="R31" i="2"/>
  <c r="S31" i="2"/>
  <c r="O32" i="2"/>
  <c r="P32" i="2"/>
  <c r="Q32" i="2"/>
  <c r="R32" i="2"/>
  <c r="S32" i="2"/>
  <c r="O33" i="2"/>
  <c r="P33" i="2"/>
  <c r="Q33" i="2"/>
  <c r="R33" i="2"/>
  <c r="S33" i="2"/>
  <c r="O34" i="2"/>
  <c r="P34" i="2"/>
  <c r="Q34" i="2"/>
  <c r="R34" i="2"/>
  <c r="S34" i="2"/>
  <c r="O35" i="2"/>
  <c r="P35" i="2"/>
  <c r="Q35" i="2"/>
  <c r="R35" i="2"/>
  <c r="S35" i="2"/>
  <c r="O36" i="2"/>
  <c r="P36" i="2"/>
  <c r="Q36" i="2"/>
  <c r="R36" i="2"/>
  <c r="S36" i="2"/>
  <c r="O37" i="2"/>
  <c r="P37" i="2"/>
  <c r="Q37" i="2"/>
  <c r="R37" i="2"/>
  <c r="S37" i="2"/>
  <c r="O38" i="2"/>
  <c r="P38" i="2"/>
  <c r="Q38" i="2"/>
  <c r="R38" i="2"/>
  <c r="S38" i="2"/>
  <c r="O39" i="2"/>
  <c r="P39" i="2"/>
  <c r="Q39" i="2"/>
  <c r="R39" i="2"/>
  <c r="S39" i="2"/>
  <c r="O40" i="2"/>
  <c r="P40" i="2"/>
  <c r="Q40" i="2"/>
  <c r="R40" i="2"/>
  <c r="S40" i="2"/>
  <c r="O41" i="2"/>
  <c r="P41" i="2"/>
  <c r="Q41" i="2"/>
  <c r="R41" i="2"/>
  <c r="S41" i="2"/>
  <c r="O42" i="2"/>
  <c r="P42" i="2"/>
  <c r="Q42" i="2"/>
  <c r="R42" i="2"/>
  <c r="S42" i="2"/>
  <c r="O43" i="2"/>
  <c r="P43" i="2"/>
  <c r="Q43" i="2"/>
  <c r="R43" i="2"/>
  <c r="S43" i="2"/>
  <c r="O44" i="2"/>
  <c r="P44" i="2"/>
  <c r="Q44" i="2"/>
  <c r="R44" i="2"/>
  <c r="S44" i="2"/>
  <c r="O45" i="2"/>
  <c r="P45" i="2"/>
  <c r="Q45" i="2"/>
  <c r="R45" i="2"/>
  <c r="S45" i="2"/>
  <c r="O46" i="2"/>
  <c r="P46" i="2"/>
  <c r="Q46" i="2"/>
  <c r="R46" i="2"/>
  <c r="S46" i="2"/>
  <c r="O47" i="2"/>
  <c r="P47" i="2"/>
  <c r="Q47" i="2"/>
  <c r="R47" i="2"/>
  <c r="S47" i="2"/>
  <c r="O48" i="2"/>
  <c r="P48" i="2"/>
  <c r="Q48" i="2"/>
  <c r="R48" i="2"/>
  <c r="S48" i="2"/>
  <c r="O49" i="2"/>
  <c r="P49" i="2"/>
  <c r="Q49" i="2"/>
  <c r="R49" i="2"/>
  <c r="S49" i="2"/>
  <c r="S2" i="2"/>
  <c r="R2" i="2"/>
  <c r="Q2" i="2"/>
  <c r="P2" i="2"/>
  <c r="O2" i="2"/>
  <c r="I99" i="2"/>
  <c r="J99" i="2"/>
  <c r="L99" i="2"/>
  <c r="M99" i="2"/>
  <c r="N99" i="2"/>
  <c r="H100" i="2"/>
  <c r="I100" i="2"/>
  <c r="J100" i="2"/>
  <c r="L100" i="2"/>
  <c r="M100" i="2"/>
  <c r="N100" i="2"/>
  <c r="H101" i="2"/>
  <c r="I101" i="2"/>
  <c r="J101" i="2"/>
  <c r="L101" i="2"/>
  <c r="M101" i="2"/>
  <c r="N101" i="2"/>
  <c r="H102" i="2"/>
  <c r="I102" i="2"/>
  <c r="J102" i="2"/>
  <c r="L102" i="2"/>
  <c r="M102" i="2"/>
  <c r="N102" i="2"/>
  <c r="I103" i="2"/>
  <c r="J103" i="2"/>
  <c r="L103" i="2"/>
  <c r="M103" i="2"/>
  <c r="N103" i="2"/>
  <c r="I104" i="2"/>
  <c r="J104" i="2"/>
  <c r="L104" i="2"/>
  <c r="M104" i="2"/>
  <c r="N104" i="2"/>
  <c r="I105" i="2"/>
  <c r="J105" i="2"/>
  <c r="L105" i="2"/>
  <c r="M105" i="2"/>
  <c r="N105" i="2"/>
  <c r="I106" i="2"/>
  <c r="J106" i="2"/>
  <c r="L106" i="2"/>
  <c r="M106" i="2"/>
  <c r="N106" i="2"/>
  <c r="H107" i="2"/>
  <c r="I107" i="2"/>
  <c r="J107" i="2"/>
  <c r="L107" i="2"/>
  <c r="M107" i="2"/>
  <c r="N107" i="2"/>
  <c r="H108" i="2"/>
  <c r="I108" i="2"/>
  <c r="J108" i="2"/>
  <c r="L108" i="2"/>
  <c r="M108" i="2"/>
  <c r="N108" i="2"/>
  <c r="I109" i="2"/>
  <c r="J109" i="2"/>
  <c r="L109" i="2"/>
  <c r="M109" i="2"/>
  <c r="N109" i="2"/>
  <c r="I110" i="2"/>
  <c r="J110" i="2"/>
  <c r="L110" i="2"/>
  <c r="M110" i="2"/>
  <c r="N110" i="2"/>
  <c r="I111" i="2"/>
  <c r="J111" i="2"/>
  <c r="L111" i="2"/>
  <c r="M111" i="2"/>
  <c r="N111" i="2"/>
  <c r="H112" i="2"/>
  <c r="I112" i="2"/>
  <c r="J112" i="2"/>
  <c r="L112" i="2"/>
  <c r="M112" i="2"/>
  <c r="N112" i="2"/>
  <c r="H113" i="2"/>
  <c r="I113" i="2"/>
  <c r="J113" i="2"/>
  <c r="L113" i="2"/>
  <c r="M113" i="2"/>
  <c r="N113" i="2"/>
  <c r="H114" i="2"/>
  <c r="I114" i="2"/>
  <c r="J114" i="2"/>
  <c r="L114" i="2"/>
  <c r="M114" i="2"/>
  <c r="N114" i="2"/>
  <c r="I115" i="2"/>
  <c r="J115" i="2"/>
  <c r="L115" i="2"/>
  <c r="M115" i="2"/>
  <c r="N115" i="2"/>
  <c r="I116" i="2"/>
  <c r="J116" i="2"/>
  <c r="L116" i="2"/>
  <c r="M116" i="2"/>
  <c r="N116" i="2"/>
  <c r="I117" i="2"/>
  <c r="J117" i="2"/>
  <c r="L117" i="2"/>
  <c r="M117" i="2"/>
  <c r="N117" i="2"/>
  <c r="H118" i="2"/>
  <c r="I118" i="2"/>
  <c r="J118" i="2"/>
  <c r="L118" i="2"/>
  <c r="M118" i="2"/>
  <c r="N118" i="2"/>
  <c r="H119" i="2"/>
  <c r="I119" i="2"/>
  <c r="J119" i="2"/>
  <c r="L119" i="2"/>
  <c r="M119" i="2"/>
  <c r="N119" i="2"/>
  <c r="H120" i="2"/>
  <c r="I120" i="2"/>
  <c r="J120" i="2"/>
  <c r="K120" i="2"/>
  <c r="L120" i="2"/>
  <c r="M120" i="2"/>
  <c r="N120" i="2"/>
  <c r="I121" i="2"/>
  <c r="J121" i="2"/>
  <c r="L121" i="2"/>
  <c r="M121" i="2"/>
  <c r="N121" i="2"/>
  <c r="I122" i="2"/>
  <c r="J122" i="2"/>
  <c r="L122" i="2"/>
  <c r="M122" i="2"/>
  <c r="N122" i="2"/>
  <c r="I123" i="2"/>
  <c r="J123" i="2"/>
  <c r="L123" i="2"/>
  <c r="M123" i="2"/>
  <c r="N123" i="2"/>
  <c r="H124" i="2"/>
  <c r="I124" i="2"/>
  <c r="J124" i="2"/>
  <c r="L124" i="2"/>
  <c r="M124" i="2"/>
  <c r="N124" i="2"/>
  <c r="H125" i="2"/>
  <c r="I125" i="2"/>
  <c r="J125" i="2"/>
  <c r="L125" i="2"/>
  <c r="M125" i="2"/>
  <c r="N125" i="2"/>
  <c r="H126" i="2"/>
  <c r="I126" i="2"/>
  <c r="J126" i="2"/>
  <c r="L126" i="2"/>
  <c r="M126" i="2"/>
  <c r="N126" i="2"/>
  <c r="I127" i="2"/>
  <c r="J127" i="2"/>
  <c r="L127" i="2"/>
  <c r="M127" i="2"/>
  <c r="N127" i="2"/>
  <c r="I128" i="2"/>
  <c r="J128" i="2"/>
  <c r="L128" i="2"/>
  <c r="M128" i="2"/>
  <c r="N128" i="2"/>
  <c r="I129" i="2"/>
  <c r="J129" i="2"/>
  <c r="L129" i="2"/>
  <c r="M129" i="2"/>
  <c r="N129" i="2"/>
  <c r="H130" i="2"/>
  <c r="I130" i="2"/>
  <c r="J130" i="2"/>
  <c r="L130" i="2"/>
  <c r="M130" i="2"/>
  <c r="N130" i="2"/>
  <c r="H131" i="2"/>
  <c r="I131" i="2"/>
  <c r="J131" i="2"/>
  <c r="L131" i="2"/>
  <c r="M131" i="2"/>
  <c r="N131" i="2"/>
  <c r="I132" i="2"/>
  <c r="J132" i="2"/>
  <c r="L132" i="2"/>
  <c r="M132" i="2"/>
  <c r="N132" i="2"/>
  <c r="I133" i="2"/>
  <c r="J133" i="2"/>
  <c r="L133" i="2"/>
  <c r="M133" i="2"/>
  <c r="N133" i="2"/>
  <c r="I134" i="2"/>
  <c r="J134" i="2"/>
  <c r="L134" i="2"/>
  <c r="M134" i="2"/>
  <c r="N134" i="2"/>
  <c r="H135" i="2"/>
  <c r="I135" i="2"/>
  <c r="J135" i="2"/>
  <c r="L135" i="2"/>
  <c r="M135" i="2"/>
  <c r="N135" i="2"/>
  <c r="H136" i="2"/>
  <c r="I136" i="2"/>
  <c r="J136" i="2"/>
  <c r="L136" i="2"/>
  <c r="M136" i="2"/>
  <c r="N136" i="2"/>
  <c r="H137" i="2"/>
  <c r="I137" i="2"/>
  <c r="J137" i="2"/>
  <c r="K137" i="2"/>
  <c r="L137" i="2"/>
  <c r="M137" i="2"/>
  <c r="N137" i="2"/>
  <c r="H138" i="2"/>
  <c r="I138" i="2"/>
  <c r="J138" i="2"/>
  <c r="L138" i="2"/>
  <c r="M138" i="2"/>
  <c r="N138" i="2"/>
  <c r="I139" i="2"/>
  <c r="J139" i="2"/>
  <c r="L139" i="2"/>
  <c r="M139" i="2"/>
  <c r="N139" i="2"/>
  <c r="I140" i="2"/>
  <c r="J140" i="2"/>
  <c r="L140" i="2"/>
  <c r="M140" i="2"/>
  <c r="N140" i="2"/>
  <c r="H141" i="2"/>
  <c r="I141" i="2"/>
  <c r="J141" i="2"/>
  <c r="L141" i="2"/>
  <c r="M141" i="2"/>
  <c r="N141" i="2"/>
  <c r="H142" i="2"/>
  <c r="I142" i="2"/>
  <c r="J142" i="2"/>
  <c r="L142" i="2"/>
  <c r="M142" i="2"/>
  <c r="N142" i="2"/>
  <c r="H143" i="2"/>
  <c r="I143" i="2"/>
  <c r="J143" i="2"/>
  <c r="L143" i="2"/>
  <c r="M143" i="2"/>
  <c r="N143" i="2"/>
  <c r="I144" i="2"/>
  <c r="J144" i="2"/>
  <c r="L144" i="2"/>
  <c r="M144" i="2"/>
  <c r="N144" i="2"/>
  <c r="I145" i="2"/>
  <c r="J145" i="2"/>
  <c r="L145" i="2"/>
  <c r="M145" i="2"/>
  <c r="N145" i="2"/>
  <c r="N98" i="2"/>
  <c r="I98" i="2"/>
  <c r="J98" i="2"/>
  <c r="L98" i="2"/>
  <c r="M98" i="2"/>
  <c r="H98" i="2"/>
  <c r="I51" i="2"/>
  <c r="J51" i="2"/>
  <c r="K51" i="2"/>
  <c r="L51" i="2"/>
  <c r="M51" i="2"/>
  <c r="N51" i="2"/>
  <c r="I52" i="2"/>
  <c r="J52" i="2"/>
  <c r="K52" i="2"/>
  <c r="L52" i="2"/>
  <c r="M52" i="2"/>
  <c r="N52" i="2"/>
  <c r="I53" i="2"/>
  <c r="J53" i="2"/>
  <c r="K53" i="2"/>
  <c r="L53" i="2"/>
  <c r="M53" i="2"/>
  <c r="N53" i="2"/>
  <c r="I54" i="2"/>
  <c r="J54" i="2"/>
  <c r="K54" i="2"/>
  <c r="L54" i="2"/>
  <c r="M54" i="2"/>
  <c r="N54" i="2"/>
  <c r="I55" i="2"/>
  <c r="J55" i="2"/>
  <c r="K55" i="2"/>
  <c r="L55" i="2"/>
  <c r="M55" i="2"/>
  <c r="N55" i="2"/>
  <c r="I56" i="2"/>
  <c r="J56" i="2"/>
  <c r="K56" i="2"/>
  <c r="L56" i="2"/>
  <c r="M56" i="2"/>
  <c r="N56" i="2"/>
  <c r="I57" i="2"/>
  <c r="J57" i="2"/>
  <c r="K57" i="2"/>
  <c r="L57" i="2"/>
  <c r="M57" i="2"/>
  <c r="N57" i="2"/>
  <c r="I58" i="2"/>
  <c r="J58" i="2"/>
  <c r="K58" i="2"/>
  <c r="L58" i="2"/>
  <c r="M58" i="2"/>
  <c r="N58" i="2"/>
  <c r="I59" i="2"/>
  <c r="J59" i="2"/>
  <c r="K59" i="2"/>
  <c r="L59" i="2"/>
  <c r="M59" i="2"/>
  <c r="N59" i="2"/>
  <c r="I60" i="2"/>
  <c r="J60" i="2"/>
  <c r="K60" i="2"/>
  <c r="L60" i="2"/>
  <c r="M60" i="2"/>
  <c r="N60" i="2"/>
  <c r="I61" i="2"/>
  <c r="J61" i="2"/>
  <c r="K61" i="2"/>
  <c r="L61" i="2"/>
  <c r="M61" i="2"/>
  <c r="N61" i="2"/>
  <c r="I62" i="2"/>
  <c r="J62" i="2"/>
  <c r="K62" i="2"/>
  <c r="L62" i="2"/>
  <c r="M62" i="2"/>
  <c r="N62" i="2"/>
  <c r="I63" i="2"/>
  <c r="J63" i="2"/>
  <c r="K63" i="2"/>
  <c r="L63" i="2"/>
  <c r="M63" i="2"/>
  <c r="N63" i="2"/>
  <c r="I64" i="2"/>
  <c r="J64" i="2"/>
  <c r="K64" i="2"/>
  <c r="L64" i="2"/>
  <c r="M64" i="2"/>
  <c r="N64" i="2"/>
  <c r="I65" i="2"/>
  <c r="J65" i="2"/>
  <c r="K65" i="2"/>
  <c r="L65" i="2"/>
  <c r="M65" i="2"/>
  <c r="N65" i="2"/>
  <c r="I66" i="2"/>
  <c r="J66" i="2"/>
  <c r="K66" i="2"/>
  <c r="L66" i="2"/>
  <c r="M66" i="2"/>
  <c r="N66" i="2"/>
  <c r="I67" i="2"/>
  <c r="J67" i="2"/>
  <c r="K67" i="2"/>
  <c r="L67" i="2"/>
  <c r="M67" i="2"/>
  <c r="N67" i="2"/>
  <c r="I68" i="2"/>
  <c r="J68" i="2"/>
  <c r="K68" i="2"/>
  <c r="L68" i="2"/>
  <c r="M68" i="2"/>
  <c r="N68" i="2"/>
  <c r="I69" i="2"/>
  <c r="J69" i="2"/>
  <c r="K69" i="2"/>
  <c r="L69" i="2"/>
  <c r="M69" i="2"/>
  <c r="N69" i="2"/>
  <c r="I70" i="2"/>
  <c r="J70" i="2"/>
  <c r="K70" i="2"/>
  <c r="L70" i="2"/>
  <c r="M70" i="2"/>
  <c r="N70" i="2"/>
  <c r="I71" i="2"/>
  <c r="J71" i="2"/>
  <c r="K71" i="2"/>
  <c r="L71" i="2"/>
  <c r="M71" i="2"/>
  <c r="N71" i="2"/>
  <c r="I72" i="2"/>
  <c r="J72" i="2"/>
  <c r="K72" i="2"/>
  <c r="L72" i="2"/>
  <c r="M72" i="2"/>
  <c r="N72" i="2"/>
  <c r="I73" i="2"/>
  <c r="J73" i="2"/>
  <c r="K73" i="2"/>
  <c r="L73" i="2"/>
  <c r="M73" i="2"/>
  <c r="N73" i="2"/>
  <c r="I74" i="2"/>
  <c r="J74" i="2"/>
  <c r="K74" i="2"/>
  <c r="L74" i="2"/>
  <c r="M74" i="2"/>
  <c r="N74" i="2"/>
  <c r="I75" i="2"/>
  <c r="J75" i="2"/>
  <c r="K75" i="2"/>
  <c r="L75" i="2"/>
  <c r="M75" i="2"/>
  <c r="N75" i="2"/>
  <c r="I76" i="2"/>
  <c r="J76" i="2"/>
  <c r="K76" i="2"/>
  <c r="L76" i="2"/>
  <c r="M76" i="2"/>
  <c r="N76" i="2"/>
  <c r="I77" i="2"/>
  <c r="J77" i="2"/>
  <c r="K77" i="2"/>
  <c r="L77" i="2"/>
  <c r="M77" i="2"/>
  <c r="N77" i="2"/>
  <c r="I78" i="2"/>
  <c r="J78" i="2"/>
  <c r="K78" i="2"/>
  <c r="L78" i="2"/>
  <c r="M78" i="2"/>
  <c r="N78" i="2"/>
  <c r="I79" i="2"/>
  <c r="J79" i="2"/>
  <c r="K79" i="2"/>
  <c r="L79" i="2"/>
  <c r="M79" i="2"/>
  <c r="N79" i="2"/>
  <c r="I80" i="2"/>
  <c r="J80" i="2"/>
  <c r="K80" i="2"/>
  <c r="L80" i="2"/>
  <c r="M80" i="2"/>
  <c r="N80" i="2"/>
  <c r="I81" i="2"/>
  <c r="J81" i="2"/>
  <c r="K81" i="2"/>
  <c r="L81" i="2"/>
  <c r="M81" i="2"/>
  <c r="N81" i="2"/>
  <c r="I82" i="2"/>
  <c r="J82" i="2"/>
  <c r="K82" i="2"/>
  <c r="L82" i="2"/>
  <c r="M82" i="2"/>
  <c r="N82" i="2"/>
  <c r="I83" i="2"/>
  <c r="J83" i="2"/>
  <c r="K83" i="2"/>
  <c r="L83" i="2"/>
  <c r="M83" i="2"/>
  <c r="N83" i="2"/>
  <c r="I84" i="2"/>
  <c r="J84" i="2"/>
  <c r="K84" i="2"/>
  <c r="L84" i="2"/>
  <c r="M84" i="2"/>
  <c r="N84" i="2"/>
  <c r="I85" i="2"/>
  <c r="J85" i="2"/>
  <c r="K85" i="2"/>
  <c r="L85" i="2"/>
  <c r="M85" i="2"/>
  <c r="N85" i="2"/>
  <c r="I86" i="2"/>
  <c r="J86" i="2"/>
  <c r="K86" i="2"/>
  <c r="L86" i="2"/>
  <c r="M86" i="2"/>
  <c r="N86" i="2"/>
  <c r="I87" i="2"/>
  <c r="J87" i="2"/>
  <c r="K87" i="2"/>
  <c r="L87" i="2"/>
  <c r="M87" i="2"/>
  <c r="N87" i="2"/>
  <c r="I88" i="2"/>
  <c r="J88" i="2"/>
  <c r="K88" i="2"/>
  <c r="L88" i="2"/>
  <c r="M88" i="2"/>
  <c r="N88" i="2"/>
  <c r="I89" i="2"/>
  <c r="J89" i="2"/>
  <c r="K89" i="2"/>
  <c r="L89" i="2"/>
  <c r="M89" i="2"/>
  <c r="N89" i="2"/>
  <c r="I90" i="2"/>
  <c r="J90" i="2"/>
  <c r="K90" i="2"/>
  <c r="L90" i="2"/>
  <c r="M90" i="2"/>
  <c r="N90" i="2"/>
  <c r="I91" i="2"/>
  <c r="J91" i="2"/>
  <c r="K91" i="2"/>
  <c r="L91" i="2"/>
  <c r="M91" i="2"/>
  <c r="N91" i="2"/>
  <c r="I92" i="2"/>
  <c r="J92" i="2"/>
  <c r="K92" i="2"/>
  <c r="L92" i="2"/>
  <c r="M92" i="2"/>
  <c r="N92" i="2"/>
  <c r="I93" i="2"/>
  <c r="J93" i="2"/>
  <c r="K93" i="2"/>
  <c r="L93" i="2"/>
  <c r="M93" i="2"/>
  <c r="N93" i="2"/>
  <c r="I94" i="2"/>
  <c r="J94" i="2"/>
  <c r="K94" i="2"/>
  <c r="L94" i="2"/>
  <c r="M94" i="2"/>
  <c r="N94" i="2"/>
  <c r="I95" i="2"/>
  <c r="J95" i="2"/>
  <c r="K95" i="2"/>
  <c r="L95" i="2"/>
  <c r="M95" i="2"/>
  <c r="N95" i="2"/>
  <c r="I96" i="2"/>
  <c r="J96" i="2"/>
  <c r="K96" i="2"/>
  <c r="L96" i="2"/>
  <c r="M96" i="2"/>
  <c r="N96" i="2"/>
  <c r="I97" i="2"/>
  <c r="J97" i="2"/>
  <c r="K97" i="2"/>
  <c r="L97" i="2"/>
  <c r="M97" i="2"/>
  <c r="N97" i="2"/>
  <c r="N50" i="2"/>
  <c r="I50" i="2"/>
  <c r="J50" i="2"/>
  <c r="K50" i="2"/>
  <c r="L50" i="2"/>
  <c r="M50" i="2"/>
  <c r="I8" i="6"/>
  <c r="X7" i="2" s="1"/>
  <c r="I3" i="2"/>
  <c r="J3" i="2"/>
  <c r="K3" i="2"/>
  <c r="L3" i="2"/>
  <c r="M3" i="2"/>
  <c r="N3" i="2"/>
  <c r="I4" i="2"/>
  <c r="J4" i="2"/>
  <c r="K4" i="2"/>
  <c r="L4" i="2"/>
  <c r="M4" i="2"/>
  <c r="N4" i="2"/>
  <c r="I5" i="2"/>
  <c r="J5" i="2"/>
  <c r="K5" i="2"/>
  <c r="L5" i="2"/>
  <c r="M5" i="2"/>
  <c r="N5" i="2"/>
  <c r="I6" i="2"/>
  <c r="J6" i="2"/>
  <c r="K6" i="2"/>
  <c r="L6" i="2"/>
  <c r="M6" i="2"/>
  <c r="N6" i="2"/>
  <c r="I7" i="2"/>
  <c r="J7" i="2"/>
  <c r="K7" i="2"/>
  <c r="L7" i="2"/>
  <c r="M7" i="2"/>
  <c r="N7" i="2"/>
  <c r="I8" i="2"/>
  <c r="J8" i="2"/>
  <c r="K8" i="2"/>
  <c r="L8" i="2"/>
  <c r="M8" i="2"/>
  <c r="N8" i="2"/>
  <c r="I9" i="2"/>
  <c r="J9" i="2"/>
  <c r="K9" i="2"/>
  <c r="L9" i="2"/>
  <c r="M9" i="2"/>
  <c r="N9" i="2"/>
  <c r="I10" i="2"/>
  <c r="J10" i="2"/>
  <c r="K10" i="2"/>
  <c r="L10" i="2"/>
  <c r="M10" i="2"/>
  <c r="N10" i="2"/>
  <c r="I11" i="2"/>
  <c r="J11" i="2"/>
  <c r="K11" i="2"/>
  <c r="L11" i="2"/>
  <c r="M11" i="2"/>
  <c r="N11" i="2"/>
  <c r="I12" i="2"/>
  <c r="J12" i="2"/>
  <c r="K12" i="2"/>
  <c r="L12" i="2"/>
  <c r="M12" i="2"/>
  <c r="N12" i="2"/>
  <c r="I13" i="2"/>
  <c r="J13" i="2"/>
  <c r="K13" i="2"/>
  <c r="L13" i="2"/>
  <c r="M13" i="2"/>
  <c r="N13" i="2"/>
  <c r="I14" i="2"/>
  <c r="J14" i="2"/>
  <c r="K14" i="2"/>
  <c r="L14" i="2"/>
  <c r="M14" i="2"/>
  <c r="N14" i="2"/>
  <c r="I15" i="2"/>
  <c r="J15" i="2"/>
  <c r="K15" i="2"/>
  <c r="L15" i="2"/>
  <c r="M15" i="2"/>
  <c r="N15" i="2"/>
  <c r="I16" i="2"/>
  <c r="J16" i="2"/>
  <c r="K16" i="2"/>
  <c r="L16" i="2"/>
  <c r="M16" i="2"/>
  <c r="N16" i="2"/>
  <c r="I17" i="2"/>
  <c r="J17" i="2"/>
  <c r="K17" i="2"/>
  <c r="L17" i="2"/>
  <c r="M17" i="2"/>
  <c r="N17" i="2"/>
  <c r="I18" i="2"/>
  <c r="J18" i="2"/>
  <c r="K18" i="2"/>
  <c r="L18" i="2"/>
  <c r="M18" i="2"/>
  <c r="N18" i="2"/>
  <c r="I19" i="2"/>
  <c r="J19" i="2"/>
  <c r="K19" i="2"/>
  <c r="L19" i="2"/>
  <c r="M19" i="2"/>
  <c r="N19" i="2"/>
  <c r="I20" i="2"/>
  <c r="J20" i="2"/>
  <c r="K20" i="2"/>
  <c r="L20" i="2"/>
  <c r="M20" i="2"/>
  <c r="N20" i="2"/>
  <c r="I21" i="2"/>
  <c r="J21" i="2"/>
  <c r="K21" i="2"/>
  <c r="L21" i="2"/>
  <c r="M21" i="2"/>
  <c r="N21" i="2"/>
  <c r="I22" i="2"/>
  <c r="J22" i="2"/>
  <c r="K22" i="2"/>
  <c r="L22" i="2"/>
  <c r="M22" i="2"/>
  <c r="N22" i="2"/>
  <c r="I23" i="2"/>
  <c r="J23" i="2"/>
  <c r="K23" i="2"/>
  <c r="L23" i="2"/>
  <c r="M23" i="2"/>
  <c r="N23" i="2"/>
  <c r="I24" i="2"/>
  <c r="J24" i="2"/>
  <c r="K24" i="2"/>
  <c r="L24" i="2"/>
  <c r="M24" i="2"/>
  <c r="N24" i="2"/>
  <c r="I25" i="2"/>
  <c r="J25" i="2"/>
  <c r="K25" i="2"/>
  <c r="L25" i="2"/>
  <c r="M25" i="2"/>
  <c r="N25" i="2"/>
  <c r="I26" i="2"/>
  <c r="J26" i="2"/>
  <c r="K26" i="2"/>
  <c r="L26" i="2"/>
  <c r="M26" i="2"/>
  <c r="N26" i="2"/>
  <c r="I27" i="2"/>
  <c r="J27" i="2"/>
  <c r="K27" i="2"/>
  <c r="L27" i="2"/>
  <c r="M27" i="2"/>
  <c r="N27" i="2"/>
  <c r="I28" i="2"/>
  <c r="J28" i="2"/>
  <c r="K28" i="2"/>
  <c r="L28" i="2"/>
  <c r="M28" i="2"/>
  <c r="N28" i="2"/>
  <c r="I29" i="2"/>
  <c r="J29" i="2"/>
  <c r="K29" i="2"/>
  <c r="L29" i="2"/>
  <c r="M29" i="2"/>
  <c r="N29" i="2"/>
  <c r="I30" i="2"/>
  <c r="J30" i="2"/>
  <c r="K30" i="2"/>
  <c r="L30" i="2"/>
  <c r="M30" i="2"/>
  <c r="N30" i="2"/>
  <c r="I31" i="2"/>
  <c r="J31" i="2"/>
  <c r="K31" i="2"/>
  <c r="L31" i="2"/>
  <c r="M31" i="2"/>
  <c r="N31" i="2"/>
  <c r="I32" i="2"/>
  <c r="J32" i="2"/>
  <c r="K32" i="2"/>
  <c r="L32" i="2"/>
  <c r="M32" i="2"/>
  <c r="N32" i="2"/>
  <c r="I33" i="2"/>
  <c r="J33" i="2"/>
  <c r="K33" i="2"/>
  <c r="L33" i="2"/>
  <c r="M33" i="2"/>
  <c r="N33" i="2"/>
  <c r="I34" i="2"/>
  <c r="J34" i="2"/>
  <c r="K34" i="2"/>
  <c r="L34" i="2"/>
  <c r="M34" i="2"/>
  <c r="N34" i="2"/>
  <c r="I35" i="2"/>
  <c r="J35" i="2"/>
  <c r="K35" i="2"/>
  <c r="L35" i="2"/>
  <c r="M35" i="2"/>
  <c r="N35" i="2"/>
  <c r="I36" i="2"/>
  <c r="J36" i="2"/>
  <c r="K36" i="2"/>
  <c r="L36" i="2"/>
  <c r="M36" i="2"/>
  <c r="N36" i="2"/>
  <c r="I37" i="2"/>
  <c r="J37" i="2"/>
  <c r="K37" i="2"/>
  <c r="L37" i="2"/>
  <c r="M37" i="2"/>
  <c r="N37" i="2"/>
  <c r="I38" i="2"/>
  <c r="J38" i="2"/>
  <c r="K38" i="2"/>
  <c r="L38" i="2"/>
  <c r="M38" i="2"/>
  <c r="N38" i="2"/>
  <c r="I39" i="2"/>
  <c r="J39" i="2"/>
  <c r="K39" i="2"/>
  <c r="L39" i="2"/>
  <c r="M39" i="2"/>
  <c r="N39" i="2"/>
  <c r="I40" i="2"/>
  <c r="J40" i="2"/>
  <c r="K40" i="2"/>
  <c r="L40" i="2"/>
  <c r="M40" i="2"/>
  <c r="N40" i="2"/>
  <c r="I41" i="2"/>
  <c r="J41" i="2"/>
  <c r="K41" i="2"/>
  <c r="L41" i="2"/>
  <c r="M41" i="2"/>
  <c r="N41" i="2"/>
  <c r="I42" i="2"/>
  <c r="J42" i="2"/>
  <c r="K42" i="2"/>
  <c r="L42" i="2"/>
  <c r="M42" i="2"/>
  <c r="N42" i="2"/>
  <c r="I43" i="2"/>
  <c r="J43" i="2"/>
  <c r="K43" i="2"/>
  <c r="L43" i="2"/>
  <c r="M43" i="2"/>
  <c r="N43" i="2"/>
  <c r="I44" i="2"/>
  <c r="J44" i="2"/>
  <c r="K44" i="2"/>
  <c r="L44" i="2"/>
  <c r="M44" i="2"/>
  <c r="N44" i="2"/>
  <c r="I45" i="2"/>
  <c r="J45" i="2"/>
  <c r="K45" i="2"/>
  <c r="L45" i="2"/>
  <c r="M45" i="2"/>
  <c r="N45" i="2"/>
  <c r="I46" i="2"/>
  <c r="J46" i="2"/>
  <c r="K46" i="2"/>
  <c r="L46" i="2"/>
  <c r="M46" i="2"/>
  <c r="N46" i="2"/>
  <c r="I47" i="2"/>
  <c r="J47" i="2"/>
  <c r="K47" i="2"/>
  <c r="L47" i="2"/>
  <c r="M47" i="2"/>
  <c r="N47" i="2"/>
  <c r="I48" i="2"/>
  <c r="J48" i="2"/>
  <c r="K48" i="2"/>
  <c r="L48" i="2"/>
  <c r="M48" i="2"/>
  <c r="N48" i="2"/>
  <c r="I49" i="2"/>
  <c r="J49" i="2"/>
  <c r="K49" i="2"/>
  <c r="L49" i="2"/>
  <c r="M49" i="2"/>
  <c r="N49" i="2"/>
  <c r="N2" i="2"/>
  <c r="M2" i="2"/>
  <c r="L2" i="2"/>
  <c r="I2" i="2"/>
  <c r="J2" i="2"/>
  <c r="K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F70" i="4"/>
  <c r="D72" i="4"/>
  <c r="E72" i="4"/>
  <c r="E64" i="4"/>
  <c r="E65" i="4" s="1"/>
  <c r="F64" i="4"/>
  <c r="F65" i="4" s="1"/>
  <c r="D64" i="4"/>
  <c r="D65" i="4" s="1"/>
  <c r="E58" i="4"/>
  <c r="F58" i="4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D70" i="4"/>
  <c r="E70" i="4"/>
  <c r="D160" i="4"/>
  <c r="D163" i="4" s="1"/>
  <c r="C160" i="4"/>
  <c r="C163" i="4" s="1"/>
  <c r="D149" i="4"/>
  <c r="D152" i="4" s="1"/>
  <c r="C149" i="4"/>
  <c r="C152" i="4" s="1"/>
  <c r="D166" i="4"/>
  <c r="C166" i="4"/>
  <c r="C137" i="4"/>
  <c r="C139" i="4"/>
  <c r="C140" i="4" s="1"/>
  <c r="D137" i="4"/>
  <c r="F99" i="4"/>
  <c r="E99" i="4"/>
  <c r="D99" i="4"/>
  <c r="F106" i="4"/>
  <c r="E106" i="4"/>
  <c r="D106" i="4"/>
  <c r="E114" i="4"/>
  <c r="F114" i="4"/>
  <c r="D114" i="4"/>
  <c r="E121" i="4"/>
  <c r="F121" i="4"/>
  <c r="D121" i="4"/>
  <c r="D130" i="4"/>
  <c r="E130" i="4"/>
  <c r="C130" i="4"/>
  <c r="E103" i="4"/>
  <c r="F103" i="4"/>
  <c r="D103" i="4"/>
  <c r="F62" i="4"/>
  <c r="E62" i="4"/>
  <c r="D62" i="4"/>
  <c r="O42" i="4"/>
  <c r="Q42" i="4"/>
  <c r="O43" i="4"/>
  <c r="Q43" i="4"/>
  <c r="Q41" i="4"/>
  <c r="K42" i="4"/>
  <c r="M42" i="4"/>
  <c r="K43" i="4"/>
  <c r="M43" i="4"/>
  <c r="M41" i="4"/>
  <c r="O41" i="4"/>
  <c r="K41" i="4"/>
  <c r="D17" i="4"/>
  <c r="F17" i="4" s="1"/>
  <c r="E4" i="4"/>
  <c r="E2" i="4"/>
  <c r="H28" i="4" s="1"/>
  <c r="F6" i="4"/>
  <c r="D3" i="4"/>
  <c r="D5" i="4"/>
  <c r="D6" i="4"/>
  <c r="F3" i="4"/>
  <c r="F5" i="4"/>
  <c r="E34" i="4"/>
  <c r="F34" i="4"/>
  <c r="D34" i="4"/>
  <c r="D21" i="4" s="1"/>
  <c r="D23" i="4"/>
  <c r="D22" i="4"/>
  <c r="F91" i="4"/>
  <c r="F92" i="4" s="1"/>
  <c r="F93" i="4" s="1"/>
  <c r="E91" i="4"/>
  <c r="E92" i="4" s="1"/>
  <c r="E93" i="4" s="1"/>
  <c r="D91" i="4"/>
  <c r="D92" i="4" s="1"/>
  <c r="D93" i="4" s="1"/>
  <c r="E80" i="4"/>
  <c r="D80" i="4"/>
  <c r="E82" i="4"/>
  <c r="E83" i="4" s="1"/>
  <c r="E85" i="4" s="1"/>
  <c r="D82" i="4"/>
  <c r="D83" i="4" s="1"/>
  <c r="D85" i="4" s="1"/>
  <c r="H68" i="2" l="1"/>
  <c r="K128" i="2"/>
  <c r="H78" i="2"/>
  <c r="K132" i="2"/>
  <c r="X16" i="2"/>
  <c r="X11" i="2"/>
  <c r="H83" i="2"/>
  <c r="K103" i="2"/>
  <c r="X17" i="2"/>
  <c r="X12" i="2"/>
  <c r="K141" i="2"/>
  <c r="H54" i="2"/>
  <c r="X34" i="2"/>
  <c r="K124" i="2"/>
  <c r="H94" i="2"/>
  <c r="H84" i="2"/>
  <c r="H59" i="2"/>
  <c r="K133" i="2"/>
  <c r="K129" i="2"/>
  <c r="K125" i="2"/>
  <c r="K121" i="2"/>
  <c r="K116" i="2"/>
  <c r="K112" i="2"/>
  <c r="K108" i="2"/>
  <c r="K104" i="2"/>
  <c r="X41" i="2"/>
  <c r="X36" i="2"/>
  <c r="X18" i="2"/>
  <c r="H50" i="2"/>
  <c r="H70" i="2"/>
  <c r="H60" i="2"/>
  <c r="K143" i="2"/>
  <c r="K113" i="2"/>
  <c r="K100" i="2"/>
  <c r="X42" i="2"/>
  <c r="X24" i="2"/>
  <c r="X19" i="2"/>
  <c r="H75" i="2"/>
  <c r="K117" i="2"/>
  <c r="K109" i="2"/>
  <c r="K105" i="2"/>
  <c r="K101" i="2"/>
  <c r="X48" i="2"/>
  <c r="X43" i="2"/>
  <c r="X25" i="2"/>
  <c r="X20" i="2"/>
  <c r="H86" i="2"/>
  <c r="H51" i="2"/>
  <c r="K144" i="2"/>
  <c r="X26" i="2"/>
  <c r="X8" i="2"/>
  <c r="X3" i="2"/>
  <c r="K111" i="2"/>
  <c r="H76" i="2"/>
  <c r="H91" i="2"/>
  <c r="H62" i="2"/>
  <c r="H52" i="2"/>
  <c r="K135" i="2"/>
  <c r="K127" i="2"/>
  <c r="X32" i="2"/>
  <c r="X27" i="2"/>
  <c r="X9" i="2"/>
  <c r="X4" i="2"/>
  <c r="H92" i="2"/>
  <c r="H67" i="2"/>
  <c r="K145" i="2"/>
  <c r="K140" i="2"/>
  <c r="K136" i="2"/>
  <c r="K119" i="2"/>
  <c r="X33" i="2"/>
  <c r="X28" i="2"/>
  <c r="X10" i="2"/>
  <c r="H144" i="2"/>
  <c r="H132" i="2"/>
  <c r="H121" i="2"/>
  <c r="H115" i="2"/>
  <c r="H109" i="2"/>
  <c r="H103" i="2"/>
  <c r="X45" i="2"/>
  <c r="X37" i="2"/>
  <c r="X29" i="2"/>
  <c r="X21" i="2"/>
  <c r="X13" i="2"/>
  <c r="X5" i="2"/>
  <c r="O116" i="2"/>
  <c r="O109" i="2"/>
  <c r="O104" i="2"/>
  <c r="H145" i="2"/>
  <c r="H139" i="2"/>
  <c r="H133" i="2"/>
  <c r="H127" i="2"/>
  <c r="H122" i="2"/>
  <c r="H110" i="2"/>
  <c r="H104" i="2"/>
  <c r="X46" i="2"/>
  <c r="X38" i="2"/>
  <c r="X30" i="2"/>
  <c r="X22" i="2"/>
  <c r="X14" i="2"/>
  <c r="X6" i="2"/>
  <c r="O140" i="2"/>
  <c r="O133" i="2"/>
  <c r="O128" i="2"/>
  <c r="O121" i="2"/>
  <c r="O114" i="2"/>
  <c r="H134" i="2"/>
  <c r="H128" i="2"/>
  <c r="H116" i="2"/>
  <c r="H105" i="2"/>
  <c r="H99" i="2"/>
  <c r="X47" i="2"/>
  <c r="X39" i="2"/>
  <c r="X31" i="2"/>
  <c r="X23" i="2"/>
  <c r="X15" i="2"/>
  <c r="O145" i="2"/>
  <c r="O138" i="2"/>
  <c r="O100" i="2"/>
  <c r="H140" i="2"/>
  <c r="H129" i="2"/>
  <c r="H123" i="2"/>
  <c r="H117" i="2"/>
  <c r="H111" i="2"/>
  <c r="O124" i="2"/>
  <c r="O117" i="2"/>
  <c r="O112" i="2"/>
  <c r="O105" i="2"/>
  <c r="O139" i="2"/>
  <c r="O131" i="2"/>
  <c r="O123" i="2"/>
  <c r="O115" i="2"/>
  <c r="O107" i="2"/>
  <c r="O99" i="2"/>
  <c r="O98" i="2"/>
  <c r="O142" i="2"/>
  <c r="O134" i="2"/>
  <c r="O126" i="2"/>
  <c r="O118" i="2"/>
  <c r="O110" i="2"/>
  <c r="O102" i="2"/>
  <c r="O143" i="2"/>
  <c r="O135" i="2"/>
  <c r="O127" i="2"/>
  <c r="O119" i="2"/>
  <c r="O111" i="2"/>
  <c r="H95" i="2"/>
  <c r="H87" i="2"/>
  <c r="H79" i="2"/>
  <c r="H71" i="2"/>
  <c r="H63" i="2"/>
  <c r="H55" i="2"/>
  <c r="H96" i="2"/>
  <c r="H88" i="2"/>
  <c r="H80" i="2"/>
  <c r="H72" i="2"/>
  <c r="H64" i="2"/>
  <c r="H56" i="2"/>
  <c r="H57" i="2"/>
  <c r="H97" i="2"/>
  <c r="H89" i="2"/>
  <c r="H81" i="2"/>
  <c r="H73" i="2"/>
  <c r="H65" i="2"/>
  <c r="H90" i="2"/>
  <c r="H82" i="2"/>
  <c r="H74" i="2"/>
  <c r="H66" i="2"/>
  <c r="H58" i="2"/>
  <c r="H93" i="2"/>
  <c r="H85" i="2"/>
  <c r="H77" i="2"/>
  <c r="H69" i="2"/>
  <c r="H61" i="2"/>
  <c r="K98" i="2"/>
  <c r="K138" i="2"/>
  <c r="K130" i="2"/>
  <c r="K122" i="2"/>
  <c r="K114" i="2"/>
  <c r="K106" i="2"/>
  <c r="K139" i="2"/>
  <c r="K131" i="2"/>
  <c r="K123" i="2"/>
  <c r="K115" i="2"/>
  <c r="K107" i="2"/>
  <c r="K99" i="2"/>
  <c r="K142" i="2"/>
  <c r="K134" i="2"/>
  <c r="K126" i="2"/>
  <c r="K118" i="2"/>
  <c r="K110" i="2"/>
  <c r="E73" i="4"/>
  <c r="D73" i="4"/>
  <c r="C169" i="4"/>
  <c r="D169" i="4"/>
  <c r="C141" i="4"/>
  <c r="D66" i="4"/>
  <c r="F66" i="4"/>
  <c r="E66" i="4"/>
  <c r="F21" i="4"/>
  <c r="E6" i="4"/>
  <c r="E5" i="4"/>
  <c r="F20" i="4"/>
  <c r="E3" i="4"/>
  <c r="J28" i="4"/>
  <c r="I26" i="4"/>
  <c r="J33" i="4"/>
  <c r="I28" i="4"/>
  <c r="F23" i="4"/>
  <c r="I31" i="4"/>
  <c r="H34" i="4"/>
  <c r="D36" i="4" s="1"/>
  <c r="H31" i="4"/>
  <c r="J34" i="4"/>
  <c r="J30" i="4"/>
  <c r="I30" i="4"/>
  <c r="I33" i="4"/>
  <c r="J27" i="4"/>
  <c r="F22" i="4"/>
  <c r="H33" i="4"/>
  <c r="F19" i="4"/>
  <c r="I34" i="4"/>
  <c r="I32" i="4"/>
  <c r="J29" i="4"/>
  <c r="H27" i="4"/>
  <c r="J32" i="4"/>
  <c r="H30" i="4"/>
  <c r="I27" i="4"/>
  <c r="H26" i="4"/>
  <c r="H32" i="4"/>
  <c r="I29" i="4"/>
  <c r="J26" i="4"/>
  <c r="J31" i="4"/>
  <c r="H29" i="4"/>
  <c r="E15" i="4" l="1"/>
  <c r="E16" i="4" s="1"/>
  <c r="D15" i="4"/>
  <c r="G42" i="4"/>
  <c r="I42" i="4"/>
  <c r="G43" i="4"/>
  <c r="I43" i="4"/>
  <c r="I41" i="4"/>
  <c r="G41" i="4"/>
  <c r="G7" i="4"/>
  <c r="D42" i="4"/>
  <c r="D43" i="4"/>
  <c r="D41" i="4"/>
  <c r="H45" i="4"/>
  <c r="G45" i="4"/>
  <c r="K45" i="4" s="1"/>
  <c r="F45" i="4"/>
  <c r="F46" i="4" s="1"/>
  <c r="I46" i="4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R13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1" i="3"/>
  <c r="Q132" i="3"/>
  <c r="Q133" i="3"/>
  <c r="Q134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2" i="3"/>
  <c r="R3" i="3"/>
  <c r="R4" i="3"/>
  <c r="R5" i="3"/>
  <c r="R6" i="3"/>
  <c r="R7" i="3"/>
  <c r="R8" i="3"/>
  <c r="R9" i="3"/>
  <c r="R10" i="3"/>
  <c r="R11" i="3"/>
  <c r="R12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2" i="3"/>
  <c r="H106" i="3"/>
  <c r="C12" i="1"/>
  <c r="C13" i="1" s="1"/>
  <c r="I3" i="3"/>
  <c r="F3" i="3" s="1"/>
  <c r="N3" i="3" s="1"/>
  <c r="I4" i="3"/>
  <c r="F4" i="3" s="1"/>
  <c r="N4" i="3" s="1"/>
  <c r="I5" i="3"/>
  <c r="F5" i="3" s="1"/>
  <c r="N5" i="3" s="1"/>
  <c r="I6" i="3"/>
  <c r="F6" i="3" s="1"/>
  <c r="N6" i="3" s="1"/>
  <c r="I7" i="3"/>
  <c r="F7" i="3" s="1"/>
  <c r="N7" i="3" s="1"/>
  <c r="I8" i="3"/>
  <c r="F8" i="3" s="1"/>
  <c r="N8" i="3" s="1"/>
  <c r="I9" i="3"/>
  <c r="F9" i="3" s="1"/>
  <c r="N9" i="3" s="1"/>
  <c r="I10" i="3"/>
  <c r="F10" i="3" s="1"/>
  <c r="N10" i="3" s="1"/>
  <c r="I11" i="3"/>
  <c r="F11" i="3" s="1"/>
  <c r="N11" i="3" s="1"/>
  <c r="I13" i="3"/>
  <c r="F13" i="3" s="1"/>
  <c r="N13" i="3" s="1"/>
  <c r="I14" i="3"/>
  <c r="F14" i="3" s="1"/>
  <c r="N14" i="3" s="1"/>
  <c r="I15" i="3"/>
  <c r="F15" i="3" s="1"/>
  <c r="N15" i="3" s="1"/>
  <c r="I16" i="3"/>
  <c r="F16" i="3" s="1"/>
  <c r="N16" i="3" s="1"/>
  <c r="I18" i="3"/>
  <c r="F18" i="3" s="1"/>
  <c r="N18" i="3" s="1"/>
  <c r="I19" i="3"/>
  <c r="F19" i="3" s="1"/>
  <c r="N19" i="3" s="1"/>
  <c r="I20" i="3"/>
  <c r="F20" i="3" s="1"/>
  <c r="N20" i="3" s="1"/>
  <c r="I21" i="3"/>
  <c r="F21" i="3" s="1"/>
  <c r="N21" i="3" s="1"/>
  <c r="I22" i="3"/>
  <c r="F22" i="3" s="1"/>
  <c r="N22" i="3" s="1"/>
  <c r="I23" i="3"/>
  <c r="F23" i="3" s="1"/>
  <c r="N23" i="3" s="1"/>
  <c r="I24" i="3"/>
  <c r="F24" i="3" s="1"/>
  <c r="N24" i="3" s="1"/>
  <c r="I25" i="3"/>
  <c r="F25" i="3" s="1"/>
  <c r="N25" i="3" s="1"/>
  <c r="I26" i="3"/>
  <c r="F26" i="3" s="1"/>
  <c r="N26" i="3" s="1"/>
  <c r="I27" i="3"/>
  <c r="F27" i="3" s="1"/>
  <c r="N27" i="3" s="1"/>
  <c r="I28" i="3"/>
  <c r="F28" i="3" s="1"/>
  <c r="N28" i="3" s="1"/>
  <c r="I29" i="3"/>
  <c r="F29" i="3" s="1"/>
  <c r="N29" i="3" s="1"/>
  <c r="I30" i="3"/>
  <c r="F30" i="3" s="1"/>
  <c r="N30" i="3" s="1"/>
  <c r="I31" i="3"/>
  <c r="F31" i="3" s="1"/>
  <c r="N31" i="3" s="1"/>
  <c r="I32" i="3"/>
  <c r="F32" i="3" s="1"/>
  <c r="N32" i="3" s="1"/>
  <c r="I33" i="3"/>
  <c r="F33" i="3" s="1"/>
  <c r="N33" i="3" s="1"/>
  <c r="I35" i="3"/>
  <c r="F35" i="3" s="1"/>
  <c r="N35" i="3" s="1"/>
  <c r="I36" i="3"/>
  <c r="F36" i="3" s="1"/>
  <c r="N36" i="3" s="1"/>
  <c r="I37" i="3"/>
  <c r="F37" i="3" s="1"/>
  <c r="N37" i="3" s="1"/>
  <c r="I38" i="3"/>
  <c r="F38" i="3" s="1"/>
  <c r="N38" i="3" s="1"/>
  <c r="I39" i="3"/>
  <c r="F39" i="3" s="1"/>
  <c r="N39" i="3" s="1"/>
  <c r="I40" i="3"/>
  <c r="F40" i="3" s="1"/>
  <c r="N40" i="3" s="1"/>
  <c r="I41" i="3"/>
  <c r="F41" i="3" s="1"/>
  <c r="N41" i="3" s="1"/>
  <c r="I42" i="3"/>
  <c r="F42" i="3" s="1"/>
  <c r="N42" i="3" s="1"/>
  <c r="I43" i="3"/>
  <c r="F43" i="3" s="1"/>
  <c r="N43" i="3" s="1"/>
  <c r="I44" i="3"/>
  <c r="F44" i="3" s="1"/>
  <c r="N44" i="3" s="1"/>
  <c r="I45" i="3"/>
  <c r="F45" i="3" s="1"/>
  <c r="N45" i="3" s="1"/>
  <c r="I46" i="3"/>
  <c r="F46" i="3" s="1"/>
  <c r="N46" i="3" s="1"/>
  <c r="I47" i="3"/>
  <c r="F47" i="3" s="1"/>
  <c r="N47" i="3" s="1"/>
  <c r="I48" i="3"/>
  <c r="F48" i="3" s="1"/>
  <c r="N48" i="3" s="1"/>
  <c r="I49" i="3"/>
  <c r="F49" i="3" s="1"/>
  <c r="N49" i="3" s="1"/>
  <c r="I50" i="3"/>
  <c r="F50" i="3" s="1"/>
  <c r="N50" i="3" s="1"/>
  <c r="I51" i="3"/>
  <c r="F51" i="3" s="1"/>
  <c r="N51" i="3" s="1"/>
  <c r="I52" i="3"/>
  <c r="F52" i="3" s="1"/>
  <c r="N52" i="3" s="1"/>
  <c r="I53" i="3"/>
  <c r="F53" i="3" s="1"/>
  <c r="N53" i="3" s="1"/>
  <c r="I54" i="3"/>
  <c r="F54" i="3" s="1"/>
  <c r="N54" i="3" s="1"/>
  <c r="I55" i="3"/>
  <c r="F55" i="3" s="1"/>
  <c r="N55" i="3" s="1"/>
  <c r="I56" i="3"/>
  <c r="F56" i="3" s="1"/>
  <c r="N56" i="3" s="1"/>
  <c r="I57" i="3"/>
  <c r="F57" i="3" s="1"/>
  <c r="N57" i="3" s="1"/>
  <c r="I58" i="3"/>
  <c r="F58" i="3" s="1"/>
  <c r="N58" i="3" s="1"/>
  <c r="I59" i="3"/>
  <c r="F59" i="3" s="1"/>
  <c r="N59" i="3" s="1"/>
  <c r="I60" i="3"/>
  <c r="F60" i="3" s="1"/>
  <c r="N60" i="3" s="1"/>
  <c r="I61" i="3"/>
  <c r="F61" i="3" s="1"/>
  <c r="N61" i="3" s="1"/>
  <c r="I62" i="3"/>
  <c r="F62" i="3" s="1"/>
  <c r="N62" i="3" s="1"/>
  <c r="I63" i="3"/>
  <c r="F63" i="3" s="1"/>
  <c r="N63" i="3" s="1"/>
  <c r="I64" i="3"/>
  <c r="F64" i="3" s="1"/>
  <c r="N64" i="3" s="1"/>
  <c r="I65" i="3"/>
  <c r="F65" i="3" s="1"/>
  <c r="N65" i="3" s="1"/>
  <c r="I66" i="3"/>
  <c r="F66" i="3" s="1"/>
  <c r="N66" i="3" s="1"/>
  <c r="I67" i="3"/>
  <c r="F67" i="3" s="1"/>
  <c r="N67" i="3" s="1"/>
  <c r="I68" i="3"/>
  <c r="F68" i="3" s="1"/>
  <c r="N68" i="3" s="1"/>
  <c r="I69" i="3"/>
  <c r="F69" i="3" s="1"/>
  <c r="N69" i="3" s="1"/>
  <c r="I70" i="3"/>
  <c r="F70" i="3" s="1"/>
  <c r="N70" i="3" s="1"/>
  <c r="I71" i="3"/>
  <c r="F71" i="3" s="1"/>
  <c r="N71" i="3" s="1"/>
  <c r="I72" i="3"/>
  <c r="F72" i="3" s="1"/>
  <c r="N72" i="3" s="1"/>
  <c r="I73" i="3"/>
  <c r="F73" i="3" s="1"/>
  <c r="N73" i="3" s="1"/>
  <c r="I74" i="3"/>
  <c r="F74" i="3" s="1"/>
  <c r="N74" i="3" s="1"/>
  <c r="I75" i="3"/>
  <c r="F75" i="3" s="1"/>
  <c r="N75" i="3" s="1"/>
  <c r="I76" i="3"/>
  <c r="F76" i="3" s="1"/>
  <c r="N76" i="3" s="1"/>
  <c r="I77" i="3"/>
  <c r="F77" i="3" s="1"/>
  <c r="N77" i="3" s="1"/>
  <c r="I78" i="3"/>
  <c r="F78" i="3" s="1"/>
  <c r="N78" i="3" s="1"/>
  <c r="I79" i="3"/>
  <c r="F79" i="3" s="1"/>
  <c r="N79" i="3" s="1"/>
  <c r="I80" i="3"/>
  <c r="F80" i="3" s="1"/>
  <c r="N80" i="3" s="1"/>
  <c r="I81" i="3"/>
  <c r="F81" i="3" s="1"/>
  <c r="N81" i="3" s="1"/>
  <c r="I83" i="3"/>
  <c r="F83" i="3" s="1"/>
  <c r="N83" i="3" s="1"/>
  <c r="I84" i="3"/>
  <c r="F84" i="3" s="1"/>
  <c r="N84" i="3" s="1"/>
  <c r="I85" i="3"/>
  <c r="F85" i="3" s="1"/>
  <c r="N85" i="3" s="1"/>
  <c r="I86" i="3"/>
  <c r="F86" i="3" s="1"/>
  <c r="N86" i="3" s="1"/>
  <c r="I87" i="3"/>
  <c r="F87" i="3" s="1"/>
  <c r="N87" i="3" s="1"/>
  <c r="I88" i="3"/>
  <c r="F88" i="3" s="1"/>
  <c r="N88" i="3" s="1"/>
  <c r="I89" i="3"/>
  <c r="F89" i="3" s="1"/>
  <c r="N89" i="3" s="1"/>
  <c r="I90" i="3"/>
  <c r="F90" i="3" s="1"/>
  <c r="N90" i="3" s="1"/>
  <c r="I92" i="3"/>
  <c r="F92" i="3" s="1"/>
  <c r="N92" i="3" s="1"/>
  <c r="I93" i="3"/>
  <c r="F93" i="3" s="1"/>
  <c r="N93" i="3" s="1"/>
  <c r="I94" i="3"/>
  <c r="F94" i="3" s="1"/>
  <c r="N94" i="3" s="1"/>
  <c r="I95" i="3"/>
  <c r="F95" i="3" s="1"/>
  <c r="N95" i="3" s="1"/>
  <c r="I96" i="3"/>
  <c r="F96" i="3" s="1"/>
  <c r="N96" i="3" s="1"/>
  <c r="I97" i="3"/>
  <c r="F97" i="3" s="1"/>
  <c r="N97" i="3" s="1"/>
  <c r="I98" i="3"/>
  <c r="F98" i="3" s="1"/>
  <c r="N98" i="3" s="1"/>
  <c r="I99" i="3"/>
  <c r="F99" i="3" s="1"/>
  <c r="N99" i="3" s="1"/>
  <c r="I100" i="3"/>
  <c r="F100" i="3" s="1"/>
  <c r="N100" i="3" s="1"/>
  <c r="I101" i="3"/>
  <c r="F101" i="3" s="1"/>
  <c r="N101" i="3" s="1"/>
  <c r="I102" i="3"/>
  <c r="F102" i="3" s="1"/>
  <c r="N102" i="3" s="1"/>
  <c r="I103" i="3"/>
  <c r="F103" i="3" s="1"/>
  <c r="N103" i="3" s="1"/>
  <c r="I104" i="3"/>
  <c r="F104" i="3" s="1"/>
  <c r="N104" i="3" s="1"/>
  <c r="I105" i="3"/>
  <c r="F105" i="3" s="1"/>
  <c r="N105" i="3" s="1"/>
  <c r="I107" i="3"/>
  <c r="F107" i="3" s="1"/>
  <c r="N107" i="3" s="1"/>
  <c r="I108" i="3"/>
  <c r="F108" i="3" s="1"/>
  <c r="N108" i="3" s="1"/>
  <c r="I109" i="3"/>
  <c r="F109" i="3" s="1"/>
  <c r="N109" i="3" s="1"/>
  <c r="I110" i="3"/>
  <c r="F110" i="3" s="1"/>
  <c r="N110" i="3" s="1"/>
  <c r="I111" i="3"/>
  <c r="F111" i="3" s="1"/>
  <c r="N111" i="3" s="1"/>
  <c r="I112" i="3"/>
  <c r="F112" i="3" s="1"/>
  <c r="N112" i="3" s="1"/>
  <c r="I113" i="3"/>
  <c r="F113" i="3" s="1"/>
  <c r="N113" i="3" s="1"/>
  <c r="I114" i="3"/>
  <c r="F114" i="3" s="1"/>
  <c r="N114" i="3" s="1"/>
  <c r="I115" i="3"/>
  <c r="F115" i="3" s="1"/>
  <c r="N115" i="3" s="1"/>
  <c r="I116" i="3"/>
  <c r="F116" i="3" s="1"/>
  <c r="N116" i="3" s="1"/>
  <c r="I117" i="3"/>
  <c r="F117" i="3" s="1"/>
  <c r="N117" i="3" s="1"/>
  <c r="I118" i="3"/>
  <c r="F118" i="3" s="1"/>
  <c r="N118" i="3" s="1"/>
  <c r="I119" i="3"/>
  <c r="F119" i="3" s="1"/>
  <c r="N119" i="3" s="1"/>
  <c r="I120" i="3"/>
  <c r="F120" i="3" s="1"/>
  <c r="N120" i="3" s="1"/>
  <c r="I121" i="3"/>
  <c r="F121" i="3" s="1"/>
  <c r="N121" i="3" s="1"/>
  <c r="I122" i="3"/>
  <c r="F122" i="3" s="1"/>
  <c r="N122" i="3" s="1"/>
  <c r="I123" i="3"/>
  <c r="F123" i="3" s="1"/>
  <c r="N123" i="3" s="1"/>
  <c r="I124" i="3"/>
  <c r="F124" i="3" s="1"/>
  <c r="N124" i="3" s="1"/>
  <c r="I125" i="3"/>
  <c r="F125" i="3" s="1"/>
  <c r="N125" i="3" s="1"/>
  <c r="I126" i="3"/>
  <c r="F126" i="3" s="1"/>
  <c r="N126" i="3" s="1"/>
  <c r="I127" i="3"/>
  <c r="F127" i="3" s="1"/>
  <c r="N127" i="3" s="1"/>
  <c r="I128" i="3"/>
  <c r="F128" i="3" s="1"/>
  <c r="N128" i="3" s="1"/>
  <c r="I129" i="3"/>
  <c r="F129" i="3" s="1"/>
  <c r="N129" i="3" s="1"/>
  <c r="I131" i="3"/>
  <c r="F131" i="3" s="1"/>
  <c r="N131" i="3" s="1"/>
  <c r="I132" i="3"/>
  <c r="F132" i="3" s="1"/>
  <c r="N132" i="3" s="1"/>
  <c r="I133" i="3"/>
  <c r="F133" i="3" s="1"/>
  <c r="N133" i="3" s="1"/>
  <c r="I134" i="3"/>
  <c r="F134" i="3" s="1"/>
  <c r="N134" i="3" s="1"/>
  <c r="I135" i="3"/>
  <c r="F135" i="3" s="1"/>
  <c r="N135" i="3" s="1"/>
  <c r="I137" i="3"/>
  <c r="F137" i="3" s="1"/>
  <c r="N137" i="3" s="1"/>
  <c r="I138" i="3"/>
  <c r="F138" i="3" s="1"/>
  <c r="N138" i="3" s="1"/>
  <c r="I139" i="3"/>
  <c r="F139" i="3" s="1"/>
  <c r="N139" i="3" s="1"/>
  <c r="I140" i="3"/>
  <c r="F140" i="3" s="1"/>
  <c r="N140" i="3" s="1"/>
  <c r="I141" i="3"/>
  <c r="F141" i="3" s="1"/>
  <c r="N141" i="3" s="1"/>
  <c r="I142" i="3"/>
  <c r="F142" i="3" s="1"/>
  <c r="N142" i="3" s="1"/>
  <c r="I143" i="3"/>
  <c r="F143" i="3" s="1"/>
  <c r="N143" i="3" s="1"/>
  <c r="I144" i="3"/>
  <c r="F144" i="3" s="1"/>
  <c r="N144" i="3" s="1"/>
  <c r="I145" i="3"/>
  <c r="F145" i="3" s="1"/>
  <c r="N145" i="3" s="1"/>
  <c r="I146" i="3"/>
  <c r="F146" i="3" s="1"/>
  <c r="N146" i="3" s="1"/>
  <c r="I147" i="3"/>
  <c r="F147" i="3" s="1"/>
  <c r="N147" i="3" s="1"/>
  <c r="I148" i="3"/>
  <c r="F148" i="3" s="1"/>
  <c r="N148" i="3" s="1"/>
  <c r="I149" i="3"/>
  <c r="F149" i="3" s="1"/>
  <c r="N149" i="3" s="1"/>
  <c r="I150" i="3"/>
  <c r="F150" i="3" s="1"/>
  <c r="N150" i="3" s="1"/>
  <c r="I151" i="3"/>
  <c r="F151" i="3" s="1"/>
  <c r="N151" i="3" s="1"/>
  <c r="I152" i="3"/>
  <c r="F152" i="3" s="1"/>
  <c r="N152" i="3" s="1"/>
  <c r="I153" i="3"/>
  <c r="F153" i="3" s="1"/>
  <c r="N153" i="3" s="1"/>
  <c r="I154" i="3"/>
  <c r="F154" i="3" s="1"/>
  <c r="N154" i="3" s="1"/>
  <c r="I155" i="3"/>
  <c r="F155" i="3" s="1"/>
  <c r="N155" i="3" s="1"/>
  <c r="I156" i="3"/>
  <c r="F156" i="3" s="1"/>
  <c r="N156" i="3" s="1"/>
  <c r="I158" i="3"/>
  <c r="F158" i="3" s="1"/>
  <c r="N158" i="3" s="1"/>
  <c r="I159" i="3"/>
  <c r="F159" i="3" s="1"/>
  <c r="N159" i="3" s="1"/>
  <c r="I160" i="3"/>
  <c r="F160" i="3" s="1"/>
  <c r="N160" i="3" s="1"/>
  <c r="I161" i="3"/>
  <c r="F161" i="3" s="1"/>
  <c r="N161" i="3" s="1"/>
  <c r="I162" i="3"/>
  <c r="F162" i="3" s="1"/>
  <c r="N162" i="3" s="1"/>
  <c r="I163" i="3"/>
  <c r="F163" i="3" s="1"/>
  <c r="N163" i="3" s="1"/>
  <c r="I164" i="3"/>
  <c r="F164" i="3" s="1"/>
  <c r="N164" i="3" s="1"/>
  <c r="I165" i="3"/>
  <c r="F165" i="3" s="1"/>
  <c r="N165" i="3" s="1"/>
  <c r="I166" i="3"/>
  <c r="F166" i="3" s="1"/>
  <c r="N166" i="3" s="1"/>
  <c r="I167" i="3"/>
  <c r="F167" i="3" s="1"/>
  <c r="N167" i="3" s="1"/>
  <c r="I168" i="3"/>
  <c r="F168" i="3" s="1"/>
  <c r="N168" i="3" s="1"/>
  <c r="I169" i="3"/>
  <c r="F169" i="3" s="1"/>
  <c r="N169" i="3" s="1"/>
  <c r="I170" i="3"/>
  <c r="F170" i="3" s="1"/>
  <c r="N170" i="3" s="1"/>
  <c r="I171" i="3"/>
  <c r="F171" i="3" s="1"/>
  <c r="N171" i="3" s="1"/>
  <c r="I172" i="3"/>
  <c r="F172" i="3" s="1"/>
  <c r="N172" i="3" s="1"/>
  <c r="I174" i="3"/>
  <c r="F174" i="3" s="1"/>
  <c r="N174" i="3" s="1"/>
  <c r="I175" i="3"/>
  <c r="F175" i="3" s="1"/>
  <c r="N175" i="3" s="1"/>
  <c r="I176" i="3"/>
  <c r="F176" i="3" s="1"/>
  <c r="N176" i="3" s="1"/>
  <c r="I177" i="3"/>
  <c r="F177" i="3" s="1"/>
  <c r="N177" i="3" s="1"/>
  <c r="I178" i="3"/>
  <c r="F178" i="3" s="1"/>
  <c r="N178" i="3" s="1"/>
  <c r="I179" i="3"/>
  <c r="F179" i="3" s="1"/>
  <c r="N179" i="3" s="1"/>
  <c r="I180" i="3"/>
  <c r="F180" i="3" s="1"/>
  <c r="N180" i="3" s="1"/>
  <c r="I181" i="3"/>
  <c r="F181" i="3" s="1"/>
  <c r="N181" i="3" s="1"/>
  <c r="I183" i="3"/>
  <c r="F183" i="3" s="1"/>
  <c r="N183" i="3" s="1"/>
  <c r="I184" i="3"/>
  <c r="F184" i="3" s="1"/>
  <c r="N184" i="3" s="1"/>
  <c r="I185" i="3"/>
  <c r="F185" i="3" s="1"/>
  <c r="N185" i="3" s="1"/>
  <c r="I186" i="3"/>
  <c r="F186" i="3" s="1"/>
  <c r="N186" i="3" s="1"/>
  <c r="I187" i="3"/>
  <c r="F187" i="3" s="1"/>
  <c r="N187" i="3" s="1"/>
  <c r="I188" i="3"/>
  <c r="F188" i="3" s="1"/>
  <c r="N188" i="3" s="1"/>
  <c r="I2" i="3"/>
  <c r="F2" i="3" s="1"/>
  <c r="N2" i="3" s="1"/>
  <c r="C25" i="1"/>
  <c r="H182" i="3"/>
  <c r="I182" i="3" s="1"/>
  <c r="F182" i="3" s="1"/>
  <c r="N182" i="3" s="1"/>
  <c r="H173" i="3"/>
  <c r="I173" i="3" s="1"/>
  <c r="F173" i="3" s="1"/>
  <c r="N173" i="3" s="1"/>
  <c r="H157" i="3"/>
  <c r="I157" i="3" s="1"/>
  <c r="F157" i="3" s="1"/>
  <c r="N157" i="3" s="1"/>
  <c r="H136" i="3"/>
  <c r="I136" i="3" s="1"/>
  <c r="F136" i="3" s="1"/>
  <c r="N136" i="3" s="1"/>
  <c r="H130" i="3"/>
  <c r="I130" i="3" s="1"/>
  <c r="F130" i="3" s="1"/>
  <c r="N130" i="3" s="1"/>
  <c r="I106" i="3"/>
  <c r="F106" i="3" s="1"/>
  <c r="N106" i="3" s="1"/>
  <c r="H91" i="3"/>
  <c r="I91" i="3" s="1"/>
  <c r="F91" i="3" s="1"/>
  <c r="N91" i="3" s="1"/>
  <c r="H82" i="3"/>
  <c r="I82" i="3" s="1"/>
  <c r="F82" i="3" s="1"/>
  <c r="N82" i="3" s="1"/>
  <c r="H34" i="3"/>
  <c r="I34" i="3" s="1"/>
  <c r="F34" i="3" s="1"/>
  <c r="N34" i="3" s="1"/>
  <c r="H12" i="3"/>
  <c r="I12" i="3" s="1"/>
  <c r="F12" i="3" s="1"/>
  <c r="N12" i="3" s="1"/>
  <c r="B54" i="1"/>
  <c r="B55" i="1"/>
  <c r="B56" i="1"/>
  <c r="B53" i="1"/>
  <c r="C15" i="1"/>
  <c r="C16" i="1" s="1"/>
  <c r="E16" i="1" s="1"/>
  <c r="E23" i="1"/>
  <c r="C27" i="1" s="1"/>
  <c r="H41" i="4" l="1"/>
  <c r="P41" i="4"/>
  <c r="L41" i="4"/>
  <c r="H42" i="4"/>
  <c r="C53" i="4" s="1"/>
  <c r="P42" i="4"/>
  <c r="E53" i="4" s="1"/>
  <c r="L42" i="4"/>
  <c r="D53" i="4" s="1"/>
  <c r="H43" i="4"/>
  <c r="P43" i="4"/>
  <c r="L43" i="4"/>
  <c r="D16" i="4"/>
  <c r="F47" i="4"/>
  <c r="I47" i="4" s="1"/>
  <c r="G47" i="4"/>
  <c r="K47" i="4" s="1"/>
  <c r="G46" i="4"/>
  <c r="K46" i="4" s="1"/>
  <c r="J46" i="4" s="1"/>
  <c r="I45" i="4"/>
  <c r="J45" i="4" s="1"/>
  <c r="G48" i="4"/>
  <c r="K48" i="4" s="1"/>
  <c r="F48" i="4"/>
  <c r="I48" i="4" s="1"/>
  <c r="T149" i="3"/>
  <c r="T89" i="3"/>
  <c r="T58" i="3"/>
  <c r="T138" i="3"/>
  <c r="T82" i="3"/>
  <c r="T132" i="3"/>
  <c r="T63" i="3"/>
  <c r="T128" i="3"/>
  <c r="T173" i="3"/>
  <c r="T114" i="3"/>
  <c r="T50" i="3"/>
  <c r="T157" i="3"/>
  <c r="T112" i="3"/>
  <c r="T33" i="3"/>
  <c r="T181" i="3"/>
  <c r="T156" i="3"/>
  <c r="T105" i="3"/>
  <c r="T31" i="3"/>
  <c r="T154" i="3"/>
  <c r="T90" i="3"/>
  <c r="T25" i="3"/>
  <c r="T180" i="3"/>
  <c r="T131" i="3"/>
  <c r="T107" i="3"/>
  <c r="T87" i="3"/>
  <c r="T55" i="3"/>
  <c r="T26" i="3"/>
  <c r="T172" i="3"/>
  <c r="T148" i="3"/>
  <c r="T123" i="3"/>
  <c r="T103" i="3"/>
  <c r="T79" i="3"/>
  <c r="T47" i="3"/>
  <c r="T23" i="3"/>
  <c r="T170" i="3"/>
  <c r="T146" i="3"/>
  <c r="T122" i="3"/>
  <c r="T98" i="3"/>
  <c r="T74" i="3"/>
  <c r="T42" i="3"/>
  <c r="T18" i="3"/>
  <c r="T165" i="3"/>
  <c r="T141" i="3"/>
  <c r="T120" i="3"/>
  <c r="T97" i="3"/>
  <c r="T71" i="3"/>
  <c r="T39" i="3"/>
  <c r="T10" i="3"/>
  <c r="T164" i="3"/>
  <c r="T140" i="3"/>
  <c r="T115" i="3"/>
  <c r="T95" i="3"/>
  <c r="T66" i="3"/>
  <c r="T34" i="3"/>
  <c r="T7" i="3"/>
  <c r="T188" i="3"/>
  <c r="T81" i="3"/>
  <c r="T73" i="3"/>
  <c r="T57" i="3"/>
  <c r="T49" i="3"/>
  <c r="T41" i="3"/>
  <c r="T9" i="3"/>
  <c r="T65" i="3"/>
  <c r="T187" i="3"/>
  <c r="T179" i="3"/>
  <c r="T171" i="3"/>
  <c r="T163" i="3"/>
  <c r="T155" i="3"/>
  <c r="T147" i="3"/>
  <c r="T139" i="3"/>
  <c r="T129" i="3"/>
  <c r="T121" i="3"/>
  <c r="T113" i="3"/>
  <c r="T104" i="3"/>
  <c r="T96" i="3"/>
  <c r="T88" i="3"/>
  <c r="T80" i="3"/>
  <c r="T72" i="3"/>
  <c r="T64" i="3"/>
  <c r="T56" i="3"/>
  <c r="T48" i="3"/>
  <c r="T40" i="3"/>
  <c r="T32" i="3"/>
  <c r="T24" i="3"/>
  <c r="T16" i="3"/>
  <c r="T8" i="3"/>
  <c r="T185" i="3"/>
  <c r="T177" i="3"/>
  <c r="T169" i="3"/>
  <c r="T161" i="3"/>
  <c r="T153" i="3"/>
  <c r="T145" i="3"/>
  <c r="T137" i="3"/>
  <c r="T127" i="3"/>
  <c r="T119" i="3"/>
  <c r="T111" i="3"/>
  <c r="T102" i="3"/>
  <c r="T94" i="3"/>
  <c r="T86" i="3"/>
  <c r="T78" i="3"/>
  <c r="T70" i="3"/>
  <c r="T62" i="3"/>
  <c r="T54" i="3"/>
  <c r="T46" i="3"/>
  <c r="T38" i="3"/>
  <c r="T30" i="3"/>
  <c r="T22" i="3"/>
  <c r="T14" i="3"/>
  <c r="T6" i="3"/>
  <c r="T186" i="3"/>
  <c r="T184" i="3"/>
  <c r="T176" i="3"/>
  <c r="T168" i="3"/>
  <c r="T160" i="3"/>
  <c r="T152" i="3"/>
  <c r="T144" i="3"/>
  <c r="T136" i="3"/>
  <c r="T126" i="3"/>
  <c r="T118" i="3"/>
  <c r="T110" i="3"/>
  <c r="T101" i="3"/>
  <c r="T93" i="3"/>
  <c r="T85" i="3"/>
  <c r="T77" i="3"/>
  <c r="T69" i="3"/>
  <c r="T61" i="3"/>
  <c r="T53" i="3"/>
  <c r="T45" i="3"/>
  <c r="T37" i="3"/>
  <c r="T29" i="3"/>
  <c r="T21" i="3"/>
  <c r="T13" i="3"/>
  <c r="T5" i="3"/>
  <c r="T162" i="3"/>
  <c r="T183" i="3"/>
  <c r="T175" i="3"/>
  <c r="T167" i="3"/>
  <c r="T159" i="3"/>
  <c r="T151" i="3"/>
  <c r="T143" i="3"/>
  <c r="T134" i="3"/>
  <c r="T125" i="3"/>
  <c r="T117" i="3"/>
  <c r="T109" i="3"/>
  <c r="T100" i="3"/>
  <c r="T92" i="3"/>
  <c r="T84" i="3"/>
  <c r="T76" i="3"/>
  <c r="T68" i="3"/>
  <c r="T60" i="3"/>
  <c r="T52" i="3"/>
  <c r="T44" i="3"/>
  <c r="T36" i="3"/>
  <c r="T28" i="3"/>
  <c r="T20" i="3"/>
  <c r="T12" i="3"/>
  <c r="T4" i="3"/>
  <c r="T178" i="3"/>
  <c r="T15" i="3"/>
  <c r="T182" i="3"/>
  <c r="T174" i="3"/>
  <c r="T166" i="3"/>
  <c r="T158" i="3"/>
  <c r="T150" i="3"/>
  <c r="T142" i="3"/>
  <c r="T133" i="3"/>
  <c r="T124" i="3"/>
  <c r="T116" i="3"/>
  <c r="T108" i="3"/>
  <c r="T99" i="3"/>
  <c r="T91" i="3"/>
  <c r="T83" i="3"/>
  <c r="T75" i="3"/>
  <c r="T67" i="3"/>
  <c r="T59" i="3"/>
  <c r="T51" i="3"/>
  <c r="T43" i="3"/>
  <c r="T35" i="3"/>
  <c r="T27" i="3"/>
  <c r="T19" i="3"/>
  <c r="T11" i="3"/>
  <c r="T3" i="3"/>
  <c r="T2" i="3"/>
  <c r="H17" i="3"/>
  <c r="I17" i="3" s="1"/>
  <c r="F17" i="3" s="1"/>
  <c r="N17" i="3" s="1"/>
  <c r="G4" i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H41" i="1"/>
  <c r="H40" i="1"/>
  <c r="H39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27" i="1"/>
  <c r="U43" i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70" i="1"/>
  <c r="D70" i="1" s="1"/>
  <c r="C36" i="1"/>
  <c r="C14" i="1"/>
  <c r="E24" i="1"/>
  <c r="E32" i="1"/>
  <c r="C32" i="1"/>
  <c r="D31" i="1"/>
  <c r="D32" i="1" s="1"/>
  <c r="E22" i="1"/>
  <c r="E34" i="1"/>
  <c r="D34" i="1"/>
  <c r="C34" i="1"/>
  <c r="E30" i="1"/>
  <c r="D30" i="1"/>
  <c r="C30" i="1"/>
  <c r="J47" i="4" l="1"/>
  <c r="D51" i="4" s="1"/>
  <c r="J48" i="4"/>
  <c r="T17" i="3"/>
  <c r="C26" i="1"/>
  <c r="E35" i="1"/>
  <c r="D35" i="1"/>
  <c r="C35" i="1"/>
  <c r="E51" i="4" l="1"/>
  <c r="C51" i="4"/>
  <c r="E52" i="4" s="1"/>
  <c r="E54" i="4" s="1"/>
  <c r="C28" i="1"/>
  <c r="D52" i="4" l="1"/>
  <c r="D54" i="4" s="1"/>
  <c r="C52" i="4"/>
  <c r="C54" i="4" s="1"/>
  <c r="T106" i="3"/>
  <c r="Q106" i="3"/>
  <c r="Q130" i="3"/>
  <c r="T130" i="3" s="1"/>
  <c r="S135" i="3"/>
  <c r="Q135" i="3" s="1"/>
  <c r="T1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5CB21599-0D22-46A6-AD13-77865CC04E7A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Important: green marked values are calculated inside of the script, changing here wont change anything, changing the original parameters will</t>
        </r>
      </text>
    </comment>
    <comment ref="F1" authorId="0" shapeId="0" xr:uid="{39CEF660-5277-4E4D-9DD4-6D7E382C8BC0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€/MW/km</t>
        </r>
      </text>
    </comment>
    <comment ref="G1" authorId="0" shapeId="0" xr:uid="{BAC12198-FE6C-4F4B-A126-55E62DBADF44}">
      <text>
        <r>
          <rPr>
            <b/>
            <sz val="9"/>
            <color rgb="FF000000"/>
            <rFont val="Segoe UI"/>
            <family val="2"/>
          </rPr>
          <t>Oliver Linsel:</t>
        </r>
        <r>
          <rPr>
            <sz val="9"/>
            <color rgb="FF000000"/>
            <rFont val="Segoe UI"/>
            <family val="2"/>
          </rPr>
          <t xml:space="preserve">
Lifetime in years. Assumed as 40 years as standard value in 40 IEA Future of Hydrogen; EWI Köln Datenanalyse; European Hydrogen Backbone</t>
        </r>
      </text>
    </comment>
    <comment ref="H1" authorId="0" shapeId="0" xr:uid="{AA8339E2-85DE-40F5-B8A1-611B13D2E841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Country dependend WACC as calculated by Telaar by using technology specific values</t>
        </r>
      </text>
    </comment>
    <comment ref="J1" authorId="0" shapeId="0" xr:uid="{22AC4D56-FE55-4CC3-93BF-2CD00BF7783F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Invest cost for capacity and km - could potentially be improved in the future
Welder et al https://doi.org/10.1016/j.energy.2018.05.059, PyPSA</t>
        </r>
      </text>
    </comment>
    <comment ref="K1" authorId="0" shapeId="0" xr:uid="{38AF3424-05E8-4826-BBEA-4BCD7B823AD1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nominal diameter, could perspectively be included in the capacity calculation - not used currently</t>
        </r>
      </text>
    </comment>
    <comment ref="L1" authorId="0" shapeId="0" xr:uid="{5E342D21-8498-46CD-A2EF-E707109DDE6A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Commodity dependend transport capacity [MW]</t>
        </r>
      </text>
    </comment>
    <comment ref="M1" authorId="0" shapeId="0" xr:uid="{C3C221FD-DA86-4DF6-857C-D49200EFBF35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Full load hours as described in EHB https://ehb.eu/files/downloads/2020_European-Hydrogen-Backbone_Report.pdf</t>
        </r>
      </text>
    </comment>
    <comment ref="N1" authorId="0" shapeId="0" xr:uid="{B53B2DCA-D7A5-4E69-A32A-689B085C2CA7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Fixed operation and maintenance cost 50% of it is adjusted using the regional_factor to account for different cost of labour [€/km/a] </t>
        </r>
      </text>
    </comment>
    <comment ref="Q1" authorId="0" shapeId="0" xr:uid="{6A1CCF18-8FD7-456F-911B-9FE1ECE481E3}">
      <text>
        <r>
          <rPr>
            <b/>
            <sz val="9"/>
            <color rgb="FF000000"/>
            <rFont val="Segoe UI"/>
            <family val="2"/>
          </rPr>
          <t>Oliver Linsel:</t>
        </r>
        <r>
          <rPr>
            <sz val="9"/>
            <color rgb="FF000000"/>
            <rFont val="Segoe UI"/>
            <family val="2"/>
          </rPr>
          <t xml:space="preserve">
€/MWh/km - mostly cost of energy, could perspectively be calculated from ground up. Average value 1.9%/1000km of transported energy as written in https://ehb.eu/files/downloads/2020_European-Hydrogen-Backbone_Report.pdf</t>
        </r>
      </text>
    </comment>
    <comment ref="T1" authorId="0" shapeId="0" xr:uid="{F396A2F5-5024-44E0-A6D9-26896B275D4E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Total costs per km and MWh, transport script multiplies the average cost between two nodes by the length of each pipeline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Linsel, Oliver (PG PR MGN MLH CSS LP)</author>
  </authors>
  <commentList>
    <comment ref="D17" authorId="0" shapeId="0" xr:uid="{C64B7B2C-2CC0-4D0E-80D2-3F495F6CC039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Mittlerer Wert aus UBA Paper 79-81.3 tCOs/TJ</t>
        </r>
      </text>
    </comment>
    <comment ref="A61" authorId="0" shapeId="0" xr:uid="{2883A002-5A58-4634-A614-CDDC64F21B17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2" authorId="0" shapeId="0" xr:uid="{D0C37B3C-5EA5-4584-A106-803E69A73296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4" authorId="0" shapeId="0" xr:uid="{00245B3E-3C36-488E-9B50-7F4C265D9562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5" authorId="0" shapeId="0" xr:uid="{F7DAC1DD-1C22-4BFC-B237-EE6880B40F56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6" authorId="0" shapeId="0" xr:uid="{EFCAD592-83E6-435D-8A8E-EA39618EB160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7" authorId="0" shapeId="0" xr:uid="{31EA8C88-8A4B-4A3C-835D-E6E88C2C3560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8" authorId="0" shapeId="0" xr:uid="{1DA77584-FC32-417E-A594-755195183A8F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  <comment ref="A69" authorId="0" shapeId="0" xr:uid="{F43C3507-93A0-435C-9152-BC94757B0983}">
      <text>
        <r>
          <rPr>
            <b/>
            <sz val="9"/>
            <color indexed="81"/>
            <rFont val="Segoe UI"/>
            <family val="2"/>
          </rPr>
          <t>Linsel, Oliver (PG PR MGN MLH CSS LP):</t>
        </r>
        <r>
          <rPr>
            <sz val="9"/>
            <color indexed="81"/>
            <rFont val="Segoe UI"/>
            <family val="2"/>
          </rPr>
          <t xml:space="preserve">
Ship carrying liquid hydrogen uses boil-off gas for propulsion; LOHC and ammonia ship uses heavy fuel oil. It is assumed that fuel 
consumption can be obtained from boil-off losses in the storage tank, so the fuel for the ship would not incur an additional energy 
penalty.Ship carrying liquid hydrogen uses boil-off gas for propulsion; LOHC and ammonia ship uses heavy fuel oil. It is assumed that fuel 
consumption can be obtained from boil-off losses in the storage tank, so the fuel for the ship would not incur an additional energy 
penalty.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  <author>tc={FB591BC2-2C75-4B8C-A057-9E40AE8CB6CA}</author>
  </authors>
  <commentList>
    <comment ref="G1" authorId="0" shapeId="0" xr:uid="{7B8B12F0-DCA9-452F-83D2-7FAD4972A464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Losses due to leakage, or conversion imperfections</t>
        </r>
      </text>
    </comment>
    <comment ref="H1" authorId="0" shapeId="0" xr:uid="{3C8CBF47-60A4-4060-ABF5-DE3C2AA1471F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Losses due to energy demand for the respective process</t>
        </r>
      </text>
    </comment>
    <comment ref="I1" authorId="0" shapeId="0" xr:uid="{A7376601-C6A5-418B-AB71-7CF5062559A3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Losses due to e.g. travel distances</t>
        </r>
      </text>
    </comment>
    <comment ref="D3" authorId="0" shapeId="0" xr:uid="{EAB97B53-EF36-4CD7-A9F7-9CA13AC95E8C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€/MW</t>
        </r>
      </text>
    </comment>
    <comment ref="D8" authorId="0" shapeId="0" xr:uid="{3D2CE96C-0F99-4F00-823E-607F79A66BBA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EWI Werte für 2040 in €/MW/km</t>
        </r>
      </text>
    </comment>
    <comment ref="I8" authorId="0" shapeId="0" xr:uid="{6B90B581-108B-4648-9291-F0A461B41AF2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Durch 720 weil 720km pro Tag gefahren werden können (24h*30km/h)</t>
        </r>
      </text>
    </comment>
    <comment ref="L8" authorId="0" shapeId="0" xr:uid="{8F18F14F-43CD-4C1A-848E-993FD952D68B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fuel costs €/MWh/km
Calculated by defining a standard vessel and its fuel consumption. Subsequently applying the transport volume to the different commodities in liquid/liquefied form.</t>
        </r>
      </text>
    </comment>
    <comment ref="D9" authorId="1" shapeId="0" xr:uid="{FB591BC2-2C75-4B8C-A057-9E40AE8CB6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IRENA opt. Wert genommen (ist der Median aus PyPSA, IRENA opt. Und IRENA pess.)</t>
      </text>
    </comment>
    <comment ref="D10" authorId="0" shapeId="0" xr:uid="{5F43691A-E6E5-48DE-AA9D-85BF572FD0F1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Onat und Demir 2025
https://www.sciencedirect.com/science/article/pii/S0360319925012182
197000
Claude Referenz: 4143791 €/MW_el</t>
        </r>
      </text>
    </comment>
    <comment ref="G10" authorId="0" shapeId="0" xr:uid="{CE2CD4AD-DD46-41B0-9FEB-CE5AB7D2FB5C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Reine Luftzerlegung, kein Stoffverlust
Claude Referenz</t>
        </r>
      </text>
    </comment>
    <comment ref="J10" authorId="0" shapeId="0" xr:uid="{6F4A2E9C-E7FA-432A-A3C0-576D57D73AFB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Claude Referenz</t>
        </r>
      </text>
    </comment>
    <comment ref="D11" authorId="0" shapeId="0" xr:uid="{5E996E02-6677-46A8-AC9B-696997C6C5F5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Onat und Demir 2025
https://www.sciencedirect.com/science/article/pii/S0360319925012182
510000
Claude Referenz 1842989</t>
        </r>
      </text>
    </comment>
    <comment ref="G11" authorId="0" shapeId="0" xr:uid="{02987F44-AEBB-4EE8-95F4-28C00416B44B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Reine Luftzerlegung, kein Stoffverlust
Claude Referenz</t>
        </r>
      </text>
    </comment>
    <comment ref="H11" authorId="0" shapeId="0" xr:uid="{31DF700E-47FC-42E7-BF24-D19F26607F82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Claude Referenz</t>
        </r>
      </text>
    </comment>
    <comment ref="J11" authorId="0" shapeId="0" xr:uid="{356F45DF-F775-4D89-864E-321F05466006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Claude Referenz</t>
        </r>
      </text>
    </comment>
    <comment ref="F12" authorId="0" shapeId="0" xr:uid="{F7387028-A8CC-4B05-AFC1-EFB1B3A14228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Fasihi et al
https://www.sciencedirect.com/science/article/pii/S0306261925002363
Onat und Demir 2025
https://www.sciencedirect.com/science/article/pii/S0360319925012182</t>
        </r>
      </text>
    </comment>
    <comment ref="G12" authorId="0" shapeId="0" xr:uid="{36A29486-9300-4114-A137-B1475B449845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Onat und Demir 2025
https://www.sciencedirect.com/science/article/pii/S0360319925012182</t>
        </r>
      </text>
    </comment>
    <comment ref="H12" authorId="0" shapeId="0" xr:uid="{D928A7CA-114A-4947-A007-5E0EE49AE63F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0.0378 kWh/kgNH3
Onat und Demir 2025
https://www.sciencedirect.com/science/article/pii/S0360319925012182</t>
        </r>
      </text>
    </comment>
    <comment ref="J12" authorId="0" shapeId="0" xr:uid="{C19364D5-9741-49A5-8013-D5106ACCB6EA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Fasihi et al
https://www.sciencedirect.com/science/article/pii/S0306261925002363
2%/CAPEX Onat &amp; Demir 2025</t>
        </r>
      </text>
    </comment>
    <comment ref="L17" authorId="0" shapeId="0" xr:uid="{DC97497E-02F6-4D09-8593-7E3797472A59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fuel costs €/MWh/km
Calculated by defining a standard vessel and its fuel consumption. Subsequently applying the transport volume to the different commodities in liquid/liquefied form.</t>
        </r>
      </text>
    </comment>
    <comment ref="D19" authorId="0" shapeId="0" xr:uid="{637FB645-89A2-4748-8544-088438555F83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Radosits et al https://www.sdewes.org/jsdewes/pid12.0484
read for 2040</t>
        </r>
      </text>
    </comment>
    <comment ref="G19" authorId="0" shapeId="0" xr:uid="{8C6CC4EE-6664-488D-B802-8619C04F801C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Radosits et al https://www.sdewes.org/jsdewes/pid12.0484
read for 2040</t>
        </r>
      </text>
    </comment>
    <comment ref="D20" authorId="0" shapeId="0" xr:uid="{1D97E987-6A29-4E28-B402-7345DC735245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Radosits et al https://www.sdewes.org/jsdewes/pid12.0484
read for 2040</t>
        </r>
      </text>
    </comment>
    <comment ref="G20" authorId="0" shapeId="0" xr:uid="{3E2D7BA7-149C-4F21-9FF1-EFA8201B89EE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Radosits et al https://www.sdewes.org/jsdewes/pid12.0484
read for 2040</t>
        </r>
      </text>
    </comment>
    <comment ref="L26" authorId="0" shapeId="0" xr:uid="{758F654C-DA25-4539-9557-AA88863E3C25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fuel costs €/MWh/km
Calculated by defining a standard vessel and its fuel consumption. Subsequently applying the transport volume to the different commodities in liquid/liquefied form.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  <author>tc={90BEBD03-C983-481E-BCE3-A98448EA5726}</author>
    <author>tc={15542EF2-C16B-42F1-B097-B4388586FB06}</author>
    <author>tc={43A2E931-E1E2-4861-A428-6A4444833B0B}</author>
    <author>tc={55D2610A-43CC-4EAA-B9D4-015F1093548C}</author>
    <author>tc={C684691A-D099-42F3-B1EB-F6641802215C}</author>
  </authors>
  <commentList>
    <comment ref="Z1" authorId="0" shapeId="0" xr:uid="{DF3CA07E-2A41-4FE8-AB45-278791664721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fuel costs €/MWh/km</t>
        </r>
      </text>
    </comment>
    <comment ref="H2" authorId="0" shapeId="0" xr:uid="{A0F57423-8401-44F1-A5BC-54D3039A9CB2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€/MW</t>
        </r>
      </text>
    </comment>
    <comment ref="J2" authorId="1" shapeId="0" xr:uid="{90BEBD03-C983-481E-BCE3-A98448EA57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PyPSA (sonst keine Daten diesbezüglich in den anderen Quellen)
Antwort:
    Stattdessen 25 Jahre - dann ist gleich mit Verflüssigung</t>
      </text>
    </comment>
    <comment ref="L2" authorId="2" shapeId="0" xr:uid="{15542EF2-C16B-42F1-B097-B4388586FB0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IRENA: 8,5 kWh Strom für 1 kg H2</t>
      </text>
    </comment>
    <comment ref="M2" authorId="3" shapeId="0" xr:uid="{43A2E931-E1E2-4861-A428-6A4444833B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IRENA -&gt; 4%; PyPSA -&gt; 2,5%
hier: 3,25%</t>
      </text>
    </comment>
    <comment ref="T2" authorId="0" shapeId="0" xr:uid="{D0D86622-0AF1-4506-8616-0DF7014C1490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EWI Werte für 2040 in €/MW/km</t>
        </r>
      </text>
    </comment>
    <comment ref="AA2" authorId="4" shapeId="0" xr:uid="{55D2610A-43CC-4EAA-B9D4-015F109354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IRENA opt. Wert genommen (ist der Median aus PyPSA, IRENA opt. Und IRENA pess.)</t>
      </text>
    </comment>
    <comment ref="AB2" authorId="5" shapeId="0" xr:uid="{C684691A-D099-42F3-B1EB-F6641802215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PyPSA (sonst keine Daten diesbezüglich in den anderen Quellen)
Antwort:
    Stattdessen 25 Jahre - dann ist gleich mit Verflüssigung</t>
      </text>
    </comment>
    <comment ref="J50" authorId="0" shapeId="0" xr:uid="{6F4B927B-4A82-4CDB-9160-450765CEDDE1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Fasihi et al
https://www.sciencedirect.com/science/article/pii/S0306261925002363</t>
        </r>
      </text>
    </comment>
  </commentList>
</comments>
</file>

<file path=xl/sharedStrings.xml><?xml version="1.0" encoding="utf-8"?>
<sst xmlns="http://schemas.openxmlformats.org/spreadsheetml/2006/main" count="2036" uniqueCount="619">
  <si>
    <t>Invest Cost</t>
  </si>
  <si>
    <t>€/MW/km</t>
  </si>
  <si>
    <t>Lifetime</t>
  </si>
  <si>
    <t>WACC</t>
  </si>
  <si>
    <t>a</t>
  </si>
  <si>
    <t>Annuity</t>
  </si>
  <si>
    <t>OPEX electricity costs</t>
  </si>
  <si>
    <t>TOTAL OPEX</t>
  </si>
  <si>
    <t>OPEX excluding electricity</t>
  </si>
  <si>
    <t>€/km/a</t>
  </si>
  <si>
    <t>Low</t>
  </si>
  <si>
    <t>Medium</t>
  </si>
  <si>
    <t>High</t>
  </si>
  <si>
    <t>Load factor</t>
  </si>
  <si>
    <t>h/a</t>
  </si>
  <si>
    <t>-</t>
  </si>
  <si>
    <t>https://ehb.eu/files/downloads/2020_European-Hydrogen-Backbone_Report.pdf</t>
  </si>
  <si>
    <t>Source</t>
  </si>
  <si>
    <t>Cost share piping</t>
  </si>
  <si>
    <t>Cast share compressors</t>
  </si>
  <si>
    <t>Literature Value</t>
  </si>
  <si>
    <t>Expert assumption</t>
  </si>
  <si>
    <t>Electricity demand as share of transported hydrogen energy at 57% load share for every 1000km electric compression</t>
  </si>
  <si>
    <t>1/1000km</t>
  </si>
  <si>
    <t>1/km</t>
  </si>
  <si>
    <t>Electricity demand as share of transported hydrogen energy at 57% load share for every km electric compression</t>
  </si>
  <si>
    <t>Capacity of hydrogen flow (at full load factor)</t>
  </si>
  <si>
    <t>GW</t>
  </si>
  <si>
    <t>Pipeline diameter</t>
  </si>
  <si>
    <t>"</t>
  </si>
  <si>
    <t>cm</t>
  </si>
  <si>
    <t>Distance between compressors</t>
  </si>
  <si>
    <t>km</t>
  </si>
  <si>
    <t>100-600</t>
  </si>
  <si>
    <t>MW</t>
  </si>
  <si>
    <t>Calculated Value</t>
  </si>
  <si>
    <t>Annuity factor</t>
  </si>
  <si>
    <t>Investment cost fee for transported energy</t>
  </si>
  <si>
    <t>€/km</t>
  </si>
  <si>
    <t>Transported energy amount</t>
  </si>
  <si>
    <t>MWh</t>
  </si>
  <si>
    <t>€/MWh/km/a</t>
  </si>
  <si>
    <t>Invest cost for rated capacity</t>
  </si>
  <si>
    <t>PyPSA</t>
  </si>
  <si>
    <t>Fom</t>
  </si>
  <si>
    <t>CAPEX/a</t>
  </si>
  <si>
    <t>Welder et al https://doi.org/10.1016/j.energy.2018.05.059, PyPSA</t>
  </si>
  <si>
    <t>Transport efficiency</t>
  </si>
  <si>
    <t>pipeline_loss_fixMin</t>
  </si>
  <si>
    <t>pipeline_loss_log</t>
  </si>
  <si>
    <t>(log base)</t>
  </si>
  <si>
    <t>length (km)</t>
  </si>
  <si>
    <t>length mean</t>
  </si>
  <si>
    <t>Losses</t>
  </si>
  <si>
    <t>Efficiency</t>
  </si>
  <si>
    <t>Leenings, 2024; Flamme, 2021</t>
  </si>
  <si>
    <t>Specific capital costs</t>
  </si>
  <si>
    <t>DN1400</t>
  </si>
  <si>
    <t>DN100</t>
  </si>
  <si>
    <t>DN125</t>
  </si>
  <si>
    <t>DN150</t>
  </si>
  <si>
    <t>DN200</t>
  </si>
  <si>
    <t>DN250</t>
  </si>
  <si>
    <t>DN300</t>
  </si>
  <si>
    <t>DN350</t>
  </si>
  <si>
    <t>DN400</t>
  </si>
  <si>
    <t>DN450</t>
  </si>
  <si>
    <t>DN500</t>
  </si>
  <si>
    <t>DN600</t>
  </si>
  <si>
    <t>DN700</t>
  </si>
  <si>
    <t>DN800</t>
  </si>
  <si>
    <t>DN900</t>
  </si>
  <si>
    <t>DN1000</t>
  </si>
  <si>
    <t>DN1200</t>
  </si>
  <si>
    <t>DN1600</t>
  </si>
  <si>
    <t>Hauptleitungen</t>
  </si>
  <si>
    <t>Leitungen an Kernpunkten</t>
  </si>
  <si>
    <t>Verteilende Fernleitungen</t>
  </si>
  <si>
    <t>Wasserstoff Fernleitungen</t>
  </si>
  <si>
    <t>°Q_h2</t>
  </si>
  <si>
    <t>Nm³/h</t>
  </si>
  <si>
    <t>G_h2</t>
  </si>
  <si>
    <t>Volumenstromrechnung Wasserstoffpipeline</t>
  </si>
  <si>
    <t>Q_H2 [Nm³/h] = 3.7435·10⁻³ · (Tn/pn) · [(p1² - p2²)/(G_H2 · L · T · Z)]^0.5 · D^2.667</t>
  </si>
  <si>
    <t>P_transport</t>
  </si>
  <si>
    <t>Inner diameter</t>
  </si>
  <si>
    <t>mm</t>
  </si>
  <si>
    <t>Look up table capacity</t>
  </si>
  <si>
    <t>GW min</t>
  </si>
  <si>
    <t>GW max</t>
  </si>
  <si>
    <t>GW mean</t>
  </si>
  <si>
    <t>AI value</t>
  </si>
  <si>
    <t>Tn</t>
  </si>
  <si>
    <t>pn</t>
  </si>
  <si>
    <t>deltap</t>
  </si>
  <si>
    <t>L</t>
  </si>
  <si>
    <t>Z</t>
  </si>
  <si>
    <t>T</t>
  </si>
  <si>
    <t>D</t>
  </si>
  <si>
    <t>Exemplary assumptions</t>
  </si>
  <si>
    <t>€/MWh/km</t>
  </si>
  <si>
    <t>€/$</t>
  </si>
  <si>
    <t>€/MWh</t>
  </si>
  <si>
    <t>Global import to germany</t>
  </si>
  <si>
    <t>Hampp et al.</t>
  </si>
  <si>
    <t>H2</t>
  </si>
  <si>
    <t>pipeline</t>
  </si>
  <si>
    <t>€/MWhLHV</t>
  </si>
  <si>
    <t>$/kgH2</t>
  </si>
  <si>
    <t>Di Lullo et al.</t>
  </si>
  <si>
    <t>at 1000km</t>
  </si>
  <si>
    <t>€/kg/km</t>
  </si>
  <si>
    <t>New Infrastructure</t>
  </si>
  <si>
    <t>Retrofit</t>
  </si>
  <si>
    <t>Adjusted 75% retrofit EUH2BB</t>
  </si>
  <si>
    <t>Commodity</t>
  </si>
  <si>
    <t>Conversion rate</t>
  </si>
  <si>
    <t>Energy denstiy</t>
  </si>
  <si>
    <t>MWh/t</t>
  </si>
  <si>
    <t>MWh/m³</t>
  </si>
  <si>
    <t>700 bar</t>
  </si>
  <si>
    <t>https://www.wasserstoff-leitprojekte.de/lw_resource/datapool/systemfiles/elements/files/F4941D1CBA383928E0537E695E862E63/live/document/Wasserstoff-Verfl%C3%BCssigung,_Speicherung,_Transport_und_Anwendung_von_fl%C3%BCssigem_Wasserstoff__2_.pdf</t>
  </si>
  <si>
    <t>NH3</t>
  </si>
  <si>
    <t>MeOH</t>
  </si>
  <si>
    <t>SNG</t>
  </si>
  <si>
    <t>Diesel</t>
  </si>
  <si>
    <t>commodity</t>
  </si>
  <si>
    <t>EU-ALB</t>
  </si>
  <si>
    <t>h2</t>
  </si>
  <si>
    <t>Base</t>
  </si>
  <si>
    <t>EU-ARM</t>
  </si>
  <si>
    <t>EU-AUT</t>
  </si>
  <si>
    <t>EU-AZE</t>
  </si>
  <si>
    <t>EU-BEL</t>
  </si>
  <si>
    <t>EU-BGR</t>
  </si>
  <si>
    <t>EU-BIH</t>
  </si>
  <si>
    <t>EU-CHE</t>
  </si>
  <si>
    <t>EU-CZE</t>
  </si>
  <si>
    <t>EU-DEU</t>
  </si>
  <si>
    <t>EU-DNK</t>
  </si>
  <si>
    <t>EU-ESP</t>
  </si>
  <si>
    <t>EU-EST</t>
  </si>
  <si>
    <t>EU-FIN</t>
  </si>
  <si>
    <t>EU-FRA</t>
  </si>
  <si>
    <t>EU-GBR</t>
  </si>
  <si>
    <t>EU-GEO</t>
  </si>
  <si>
    <t>EU-GRC</t>
  </si>
  <si>
    <t>EU-HRV</t>
  </si>
  <si>
    <t>EU-HUN</t>
  </si>
  <si>
    <t>EU-IRL</t>
  </si>
  <si>
    <t>EU-ISL</t>
  </si>
  <si>
    <t>EU-ITA</t>
  </si>
  <si>
    <t>EU-LTU</t>
  </si>
  <si>
    <t>EU-LUX</t>
  </si>
  <si>
    <t>EU-LVA</t>
  </si>
  <si>
    <t>EU-MDA</t>
  </si>
  <si>
    <t>EU-MKD</t>
  </si>
  <si>
    <t>EU-MNE</t>
  </si>
  <si>
    <t>EU-NLD</t>
  </si>
  <si>
    <t>EU-NOR</t>
  </si>
  <si>
    <t>EU-POL</t>
  </si>
  <si>
    <t>EU-PRT</t>
  </si>
  <si>
    <t>EU-ROU</t>
  </si>
  <si>
    <t>EU-SRB</t>
  </si>
  <si>
    <t>EU-SVK</t>
  </si>
  <si>
    <t>EU-SVN</t>
  </si>
  <si>
    <t>EU-SWE</t>
  </si>
  <si>
    <t>EU-UKR</t>
  </si>
  <si>
    <t>SA-ARG</t>
  </si>
  <si>
    <t>OC-AUS</t>
  </si>
  <si>
    <t>SA-BOL</t>
  </si>
  <si>
    <t>SA-BRA</t>
  </si>
  <si>
    <t>NA-CAN</t>
  </si>
  <si>
    <t>SA-CHL</t>
  </si>
  <si>
    <t>SA-COL</t>
  </si>
  <si>
    <t>NA-CRI</t>
  </si>
  <si>
    <t>NA-CUB</t>
  </si>
  <si>
    <t>NA-DOM</t>
  </si>
  <si>
    <t>SA-ECU</t>
  </si>
  <si>
    <t>NA-GTM</t>
  </si>
  <si>
    <t>SA-GUY</t>
  </si>
  <si>
    <t>NA-HND</t>
  </si>
  <si>
    <t>NA-HTI</t>
  </si>
  <si>
    <t>NA-JAM</t>
  </si>
  <si>
    <t>NA-MEX</t>
  </si>
  <si>
    <t>NA-NIC</t>
  </si>
  <si>
    <t>OC-NZL</t>
  </si>
  <si>
    <t>NA-PAN</t>
  </si>
  <si>
    <t>SA-PER</t>
  </si>
  <si>
    <t>OC-PNG</t>
  </si>
  <si>
    <t>SA-PRY</t>
  </si>
  <si>
    <t>NA-SLV</t>
  </si>
  <si>
    <t>SA-SUR</t>
  </si>
  <si>
    <t>NA-TTO</t>
  </si>
  <si>
    <t>SA-URY</t>
  </si>
  <si>
    <t>NA-USA</t>
  </si>
  <si>
    <t>SA-VEN</t>
  </si>
  <si>
    <t>AS-AFG</t>
  </si>
  <si>
    <t>AS-ARE</t>
  </si>
  <si>
    <t>AS-BGD</t>
  </si>
  <si>
    <t>AS-BHR</t>
  </si>
  <si>
    <t>AS-BRN</t>
  </si>
  <si>
    <t>AS-BTN</t>
  </si>
  <si>
    <t>AS-CHN</t>
  </si>
  <si>
    <t>AS-IDN</t>
  </si>
  <si>
    <t>AS-IND</t>
  </si>
  <si>
    <t>AS-IRN</t>
  </si>
  <si>
    <t>AS-IRQ</t>
  </si>
  <si>
    <t>AS-ISR</t>
  </si>
  <si>
    <t>AS-JOR</t>
  </si>
  <si>
    <t>AS-JPN</t>
  </si>
  <si>
    <t>AS-KAZ</t>
  </si>
  <si>
    <t>AS-KGZ</t>
  </si>
  <si>
    <t>AS-KHM</t>
  </si>
  <si>
    <t>AS-KOR</t>
  </si>
  <si>
    <t>AS-KWT</t>
  </si>
  <si>
    <t>AS-LAO</t>
  </si>
  <si>
    <t>AS-LBN</t>
  </si>
  <si>
    <t>AS-LKA</t>
  </si>
  <si>
    <t>AS-MMR</t>
  </si>
  <si>
    <t>AS-MNG</t>
  </si>
  <si>
    <t>AS-MYS</t>
  </si>
  <si>
    <t>AS-NPL</t>
  </si>
  <si>
    <t>AS-OMN</t>
  </si>
  <si>
    <t>AS-PAK</t>
  </si>
  <si>
    <t>AS-PHL</t>
  </si>
  <si>
    <t>AS-PRK</t>
  </si>
  <si>
    <t>AS-QAT</t>
  </si>
  <si>
    <t>AS-RUS</t>
  </si>
  <si>
    <t>AS-SAU</t>
  </si>
  <si>
    <t>AS-SGP</t>
  </si>
  <si>
    <t>AS-SYR</t>
  </si>
  <si>
    <t>AS-THA</t>
  </si>
  <si>
    <t>AS-TJK</t>
  </si>
  <si>
    <t>AS-TKM</t>
  </si>
  <si>
    <t>AS-TUR</t>
  </si>
  <si>
    <t>AS-TWN</t>
  </si>
  <si>
    <t>AS-UZB</t>
  </si>
  <si>
    <t>AS-VNM</t>
  </si>
  <si>
    <t>AS-YEM</t>
  </si>
  <si>
    <t>AF-AGO</t>
  </si>
  <si>
    <t>AF-BDI</t>
  </si>
  <si>
    <t>AF-BEN</t>
  </si>
  <si>
    <t>AF-BFA</t>
  </si>
  <si>
    <t>AF-BWA</t>
  </si>
  <si>
    <t>AF-CAF</t>
  </si>
  <si>
    <t>AF-CIV</t>
  </si>
  <si>
    <t>AF-CMR</t>
  </si>
  <si>
    <t>AF-COD</t>
  </si>
  <si>
    <t>AF-COG</t>
  </si>
  <si>
    <t>AF-DJI</t>
  </si>
  <si>
    <t>AF-DZA</t>
  </si>
  <si>
    <t>AF-EGY</t>
  </si>
  <si>
    <t>AF-ERI</t>
  </si>
  <si>
    <t>AF-ETH</t>
  </si>
  <si>
    <t>AF-GAB</t>
  </si>
  <si>
    <t>AF-GHA</t>
  </si>
  <si>
    <t>AF-GIN</t>
  </si>
  <si>
    <t>AF-GMB</t>
  </si>
  <si>
    <t>AF-GNB</t>
  </si>
  <si>
    <t>AF-GNQ</t>
  </si>
  <si>
    <t>AF-KEN</t>
  </si>
  <si>
    <t>AF-LBR</t>
  </si>
  <si>
    <t>AF-LBY</t>
  </si>
  <si>
    <t>AF-LSO</t>
  </si>
  <si>
    <t>AF-MAR</t>
  </si>
  <si>
    <t>AF-MDG</t>
  </si>
  <si>
    <t>AF-MLI</t>
  </si>
  <si>
    <t>AF-MOZ</t>
  </si>
  <si>
    <t>AF-MRT</t>
  </si>
  <si>
    <t>AF-MWI</t>
  </si>
  <si>
    <t>AF-NAM</t>
  </si>
  <si>
    <t>AF-NER</t>
  </si>
  <si>
    <t>AF-NGA</t>
  </si>
  <si>
    <t>AF-RWA</t>
  </si>
  <si>
    <t>AF-SDN</t>
  </si>
  <si>
    <t>AF-SEN</t>
  </si>
  <si>
    <t>AF-SLE</t>
  </si>
  <si>
    <t>AF-SOM</t>
  </si>
  <si>
    <t>AF-SWZ</t>
  </si>
  <si>
    <t>AF-TCD</t>
  </si>
  <si>
    <t>AF-TGO</t>
  </si>
  <si>
    <t>AF-TUN</t>
  </si>
  <si>
    <t>AF-TZA</t>
  </si>
  <si>
    <t>AF-UGA</t>
  </si>
  <si>
    <t>AF-ZAF</t>
  </si>
  <si>
    <t>AF-ZMB</t>
  </si>
  <si>
    <t>AF-ZWE</t>
  </si>
  <si>
    <t>name</t>
  </si>
  <si>
    <t>alternative</t>
  </si>
  <si>
    <t>AF-CPV</t>
  </si>
  <si>
    <t>AF-ESH</t>
  </si>
  <si>
    <t>AF-MUS</t>
  </si>
  <si>
    <t>AS-TLS</t>
  </si>
  <si>
    <t>EU-BLR</t>
  </si>
  <si>
    <t>EU-CYP</t>
  </si>
  <si>
    <t>EU-DNK1</t>
  </si>
  <si>
    <t>EU-DNK2</t>
  </si>
  <si>
    <t>EU-ITA1</t>
  </si>
  <si>
    <t>EU-ITA2</t>
  </si>
  <si>
    <t>EU-ITA3</t>
  </si>
  <si>
    <t>EU-ITA4</t>
  </si>
  <si>
    <t>EU-ITA5</t>
  </si>
  <si>
    <t>EU-ITA6</t>
  </si>
  <si>
    <t>EU-KOS</t>
  </si>
  <si>
    <t>EU-MLT</t>
  </si>
  <si>
    <t>EU-NOR1</t>
  </si>
  <si>
    <t>EU-NOR2</t>
  </si>
  <si>
    <t>EU-NOR3</t>
  </si>
  <si>
    <t>EU-NOR4</t>
  </si>
  <si>
    <t>EU-NOR5</t>
  </si>
  <si>
    <t>EU-SWE1</t>
  </si>
  <si>
    <t>EU-SWE2</t>
  </si>
  <si>
    <t>EU-SWE3</t>
  </si>
  <si>
    <t>EU-SWE4</t>
  </si>
  <si>
    <t>NA-BLZ</t>
  </si>
  <si>
    <t>OC-FJI</t>
  </si>
  <si>
    <t>SA-GUF</t>
  </si>
  <si>
    <t>lon</t>
  </si>
  <si>
    <t>lat</t>
  </si>
  <si>
    <t>Invest cost for rated capacity 6 GW</t>
  </si>
  <si>
    <t>Welder et al https://doi.org/10.1016/j.energy.2018.05.059</t>
  </si>
  <si>
    <t>fom</t>
  </si>
  <si>
    <t>Pipeline invest cost per diameter</t>
  </si>
  <si>
    <t>Diameter</t>
  </si>
  <si>
    <t>$/m</t>
  </si>
  <si>
    <t>IEA, 2019, Belfer-Center Report</t>
  </si>
  <si>
    <t>m</t>
  </si>
  <si>
    <t>invest_cost</t>
  </si>
  <si>
    <t>DN</t>
  </si>
  <si>
    <t>energy transport capacity</t>
  </si>
  <si>
    <t>https://www.wasserstoff-leitprojekte.de/lw_resource/datapool/systemfiles/elements/files/573e9b52-55a3-11f0-84bf-fa163ed847d2/live/document/Compression_and_hydrogen_transport-_A_technical_and_economic_analysis.pdf</t>
  </si>
  <si>
    <t>Unit</t>
  </si>
  <si>
    <t>What</t>
  </si>
  <si>
    <t>Formula</t>
  </si>
  <si>
    <t>Wobbe Number Ws</t>
  </si>
  <si>
    <t>Hydrogen</t>
  </si>
  <si>
    <t>Hgas</t>
  </si>
  <si>
    <t>Gas law deviation coefficient K</t>
  </si>
  <si>
    <t>capacity</t>
  </si>
  <si>
    <t>lifetime</t>
  </si>
  <si>
    <t>regional_factor</t>
  </si>
  <si>
    <t>annuity_factor</t>
  </si>
  <si>
    <t>full_load_hours</t>
  </si>
  <si>
    <t>invest_cost_MWh</t>
  </si>
  <si>
    <t>cost_el</t>
  </si>
  <si>
    <t>vom_cost_MWh</t>
  </si>
  <si>
    <t>fom_cost_MWh</t>
  </si>
  <si>
    <t>fom_capex_factor</t>
  </si>
  <si>
    <t>electricity_per_energy_transported</t>
  </si>
  <si>
    <t>total_cost_MWh</t>
  </si>
  <si>
    <t>terminal_name</t>
  </si>
  <si>
    <t>node</t>
  </si>
  <si>
    <t>terminal_EU-NLD</t>
  </si>
  <si>
    <t>h2liq</t>
  </si>
  <si>
    <t>terminal_EU-PRT</t>
  </si>
  <si>
    <t>terminal_EU-ESP</t>
  </si>
  <si>
    <t>terminal_EU-ISL</t>
  </si>
  <si>
    <t>terminal_EU-ITA4</t>
  </si>
  <si>
    <t>terminal_EU-ITA</t>
  </si>
  <si>
    <t>terminal_AS-TUR</t>
  </si>
  <si>
    <t>terminal_EU-SWE3</t>
  </si>
  <si>
    <t>terminal_EU-SWE</t>
  </si>
  <si>
    <t>terminal_EU-GBR</t>
  </si>
  <si>
    <t>terminal_AS-QAT</t>
  </si>
  <si>
    <t>terminal_AS-IND-WE</t>
  </si>
  <si>
    <t>AS-IND-WE</t>
  </si>
  <si>
    <t>terminal_AS-BGD</t>
  </si>
  <si>
    <t>terminal_AS-SGP</t>
  </si>
  <si>
    <t>terminal_AS-IDN</t>
  </si>
  <si>
    <t>terminal_AS-CHN-SH</t>
  </si>
  <si>
    <t>AS-CHN-SH</t>
  </si>
  <si>
    <t>terminal_AS-JPN-TO</t>
  </si>
  <si>
    <t>AS-JPN-TO</t>
  </si>
  <si>
    <t>terminal_AS-VNM</t>
  </si>
  <si>
    <t>terminal_OC-AUS-SW</t>
  </si>
  <si>
    <t>terminal_OC-AUS-WA</t>
  </si>
  <si>
    <t>OC-AUS-SW</t>
  </si>
  <si>
    <t>OC-AUS-WA</t>
  </si>
  <si>
    <t>terminal_OC-NZL</t>
  </si>
  <si>
    <t>terminal_NA-USA-CA</t>
  </si>
  <si>
    <t>terminal_NA-USA-SV</t>
  </si>
  <si>
    <t>terminal_NA-USA-SA</t>
  </si>
  <si>
    <t>NA-USA-CA</t>
  </si>
  <si>
    <t>NA-USA-SV</t>
  </si>
  <si>
    <t>NA-USA-SA</t>
  </si>
  <si>
    <t>terminal_NA-MEX</t>
  </si>
  <si>
    <t>terminal_NA-NIC</t>
  </si>
  <si>
    <t>terminal_NA-DOM</t>
  </si>
  <si>
    <t>terminal_NA-TTO</t>
  </si>
  <si>
    <t>terminal_SA-BRA-SE</t>
  </si>
  <si>
    <t>SA-BRA-SE</t>
  </si>
  <si>
    <t>terminal_SA-ARG</t>
  </si>
  <si>
    <t>terminal_SA-CHL</t>
  </si>
  <si>
    <t>terminal_SA-PER</t>
  </si>
  <si>
    <t>terminal_AF-DZA</t>
  </si>
  <si>
    <t>terminal_AF-SEN</t>
  </si>
  <si>
    <t>terminal_AF-NGA</t>
  </si>
  <si>
    <t>terminal_AF-AGO</t>
  </si>
  <si>
    <t>terminal_AF-ZAF</t>
  </si>
  <si>
    <t>terminal_AF-TZA</t>
  </si>
  <si>
    <t>terminal_AF-EGY</t>
  </si>
  <si>
    <t>conversion_invest_cost</t>
  </si>
  <si>
    <t>conversion_lifetime</t>
  </si>
  <si>
    <t>conversion_fom_capex_factor</t>
  </si>
  <si>
    <t>electricity_per_energy_converted</t>
  </si>
  <si>
    <t>terminal_invest_cost</t>
  </si>
  <si>
    <t>terminal_lifetime</t>
  </si>
  <si>
    <t>terminal_efficiency</t>
  </si>
  <si>
    <t>terminal_fom_capex_factor</t>
  </si>
  <si>
    <t>electricity_per_energy_loaded</t>
  </si>
  <si>
    <t>shipping_invest_cost</t>
  </si>
  <si>
    <t>shipping_lifetime</t>
  </si>
  <si>
    <t>shipping_fom_capex_factor</t>
  </si>
  <si>
    <t>reconversion_invest_cost</t>
  </si>
  <si>
    <t>reconversion_lifetime</t>
  </si>
  <si>
    <t>reconversion_fom_capex_factor</t>
  </si>
  <si>
    <t>electricity_per_energy_reconverted</t>
  </si>
  <si>
    <t>conversion_efficiency_substantial</t>
  </si>
  <si>
    <t>conversion_efficiency_energetic</t>
  </si>
  <si>
    <t>reconversion_efficiency_substantial</t>
  </si>
  <si>
    <t>reconversion_efficiency_energetic</t>
  </si>
  <si>
    <t>fuel_consumption</t>
  </si>
  <si>
    <t>shipping_efficiency_flat</t>
  </si>
  <si>
    <t>shipping_efficiency_km</t>
  </si>
  <si>
    <t>efficiency</t>
  </si>
  <si>
    <t>fuel_consumption_km</t>
  </si>
  <si>
    <t>fuel_costs</t>
  </si>
  <si>
    <t>VLSFO diesel</t>
  </si>
  <si>
    <t>Lower Heating Values (LHV)</t>
  </si>
  <si>
    <t>Overall info</t>
  </si>
  <si>
    <t>$/t</t>
  </si>
  <si>
    <t>ETS</t>
  </si>
  <si>
    <t>€/tCo2</t>
  </si>
  <si>
    <t>APS_2040</t>
  </si>
  <si>
    <t>emission_factor</t>
  </si>
  <si>
    <t>tCo2/tfuel</t>
  </si>
  <si>
    <t>https://www.climatiq.io/data/emission-factor/4ee1a3af-8ba4-46a8-9d3c-6198f4e1cc05</t>
  </si>
  <si>
    <t>fuel_costs incl Co2 price</t>
  </si>
  <si>
    <t>tCo2/MWh_fuel</t>
  </si>
  <si>
    <t>small</t>
  </si>
  <si>
    <t>mid</t>
  </si>
  <si>
    <t>large</t>
  </si>
  <si>
    <t>t/km</t>
  </si>
  <si>
    <t>kn</t>
  </si>
  <si>
    <t>km/h</t>
  </si>
  <si>
    <t>€</t>
  </si>
  <si>
    <t>payload min</t>
  </si>
  <si>
    <t>payload max</t>
  </si>
  <si>
    <t>payload mean</t>
  </si>
  <si>
    <t>m³</t>
  </si>
  <si>
    <t>MWh_h2liq</t>
  </si>
  <si>
    <t>€/km/MWh_transported</t>
  </si>
  <si>
    <t>MWh_fuel/km</t>
  </si>
  <si>
    <t>€/MWh_fuel</t>
  </si>
  <si>
    <t>Boil-off losses</t>
  </si>
  <si>
    <t>Capacity/tank</t>
  </si>
  <si>
    <t>Export terminal</t>
  </si>
  <si>
    <t>tX</t>
  </si>
  <si>
    <t>IEA The future of hydrogen assumptions</t>
  </si>
  <si>
    <t>CAPEX/tank</t>
  </si>
  <si>
    <t>CAPEX/masse</t>
  </si>
  <si>
    <t>€/tX</t>
  </si>
  <si>
    <t>berechnet</t>
  </si>
  <si>
    <t>€/tX/a</t>
  </si>
  <si>
    <t>berechnet als 4% vom CAPEX laut Studie</t>
  </si>
  <si>
    <t>H2 liq</t>
  </si>
  <si>
    <t>fom_factor</t>
  </si>
  <si>
    <t>%_CAPEX/tX/a</t>
  </si>
  <si>
    <t>Energy content</t>
  </si>
  <si>
    <t>https://oa.tib.eu/renate/items/34717383-7179-419d-800d-8a15eff7febb</t>
  </si>
  <si>
    <t>Electricity use</t>
  </si>
  <si>
    <t>kWh/kgH2</t>
  </si>
  <si>
    <t>Boil off rate</t>
  </si>
  <si>
    <t>%/day</t>
  </si>
  <si>
    <t>Flash rate</t>
  </si>
  <si>
    <t>%</t>
  </si>
  <si>
    <t>Capacity/ship</t>
  </si>
  <si>
    <t>Seaborne transport</t>
  </si>
  <si>
    <t>CAPEX/ship</t>
  </si>
  <si>
    <t>berechnet als 4% vom CAPEX/masse</t>
  </si>
  <si>
    <t>Import terminal</t>
  </si>
  <si>
    <t>CAPEX</t>
  </si>
  <si>
    <t>MWh/tH2</t>
  </si>
  <si>
    <t>Fuel cost Santos</t>
  </si>
  <si>
    <t>World Bunker Prices - Ship &amp; Bunker (shipandbunker.com)</t>
  </si>
  <si>
    <t>Fuel cost Rotterdam</t>
  </si>
  <si>
    <t>CO2 Emission Factors for Fossil Fuels (umweltbundesamt.de)</t>
  </si>
  <si>
    <t>World's 1st LH2 carrier Suiso Frontier departs for Australia - Offshore Energy (offshore-energy.biz)</t>
  </si>
  <si>
    <t>h</t>
  </si>
  <si>
    <t>https://en.wikipedia.org/wiki/Knot_(unit)</t>
  </si>
  <si>
    <t>€/t_fuel</t>
  </si>
  <si>
    <t>fuel_costs_global</t>
  </si>
  <si>
    <t>LA/Long Beach</t>
  </si>
  <si>
    <t>New York</t>
  </si>
  <si>
    <t>Houston</t>
  </si>
  <si>
    <t>Santos</t>
  </si>
  <si>
    <t>Rotterdam</t>
  </si>
  <si>
    <t>Fujairah</t>
  </si>
  <si>
    <t>Hong Kong</t>
  </si>
  <si>
    <t>Singapore</t>
  </si>
  <si>
    <t>Year</t>
  </si>
  <si>
    <t>VLSFO</t>
  </si>
  <si>
    <t>MGO</t>
  </si>
  <si>
    <t>Mean</t>
  </si>
  <si>
    <t>IFO380</t>
  </si>
  <si>
    <t>HFO</t>
  </si>
  <si>
    <t>LNG</t>
  </si>
  <si>
    <t>https://www.researchgate.net/publication/305438099_Forecasting_port-level_demand_for_LNG_as_a_ship_fuel_the_case_of_the_port_of_Antwerp</t>
  </si>
  <si>
    <t>https://bunkerindex.com/help/article.php?a=21678&amp;h=lng-price-conversion</t>
  </si>
  <si>
    <t>tCo2/TJ</t>
  </si>
  <si>
    <t>Chosen value</t>
  </si>
  <si>
    <t>Susio Frontier</t>
  </si>
  <si>
    <t>Consumption</t>
  </si>
  <si>
    <t>Spec_consumption</t>
  </si>
  <si>
    <t>Transported energy</t>
  </si>
  <si>
    <t>H2liq</t>
  </si>
  <si>
    <t>MWh_nh3</t>
  </si>
  <si>
    <t>MWh_MeOH</t>
  </si>
  <si>
    <t>ch3oh</t>
  </si>
  <si>
    <t>nh3</t>
  </si>
  <si>
    <t>t_fuel/d</t>
  </si>
  <si>
    <t>tanker capacity</t>
  </si>
  <si>
    <t>Methanation</t>
  </si>
  <si>
    <t>annual OPEX</t>
  </si>
  <si>
    <t>electricity consumption</t>
  </si>
  <si>
    <t>Today</t>
  </si>
  <si>
    <t>long term</t>
  </si>
  <si>
    <t>https://iea.blob.core.windows.net/assets/29b027e5-fefc-47df-aed0-456b1bb38844/IEA-The-Future-of-Hydrogen-Assumptions-Annex_CORR.pdf</t>
  </si>
  <si>
    <t>Fischer-Tropsch</t>
  </si>
  <si>
    <t>Methanol / MeOH (Electrolysis)</t>
  </si>
  <si>
    <t>Ammonia / NH3 (Electrolysis)</t>
  </si>
  <si>
    <t>Electrolysis</t>
  </si>
  <si>
    <t>$/kWel</t>
  </si>
  <si>
    <t>%CAPEX/a</t>
  </si>
  <si>
    <t>$/kWprod</t>
  </si>
  <si>
    <t>GJe/GJprod</t>
  </si>
  <si>
    <t>$/kWliquid</t>
  </si>
  <si>
    <t>GJe/Gjliquid</t>
  </si>
  <si>
    <t>$/tNH3</t>
  </si>
  <si>
    <t>GJ/t_nh3</t>
  </si>
  <si>
    <t>$/tMeOH</t>
  </si>
  <si>
    <t>GJ/t_MeOH</t>
  </si>
  <si>
    <t>€/MW</t>
  </si>
  <si>
    <t xml:space="preserve"> </t>
  </si>
  <si>
    <t>Liquefaction</t>
  </si>
  <si>
    <t>Installed capacity</t>
  </si>
  <si>
    <t>capacity CAPEX</t>
  </si>
  <si>
    <t>kt_h2/y</t>
  </si>
  <si>
    <t>Mio $</t>
  </si>
  <si>
    <t>kWh/kg_h2</t>
  </si>
  <si>
    <t>MWh_el/MWh_h2</t>
  </si>
  <si>
    <t>Full load hours</t>
  </si>
  <si>
    <t>No of tanks</t>
  </si>
  <si>
    <t>electricity use</t>
  </si>
  <si>
    <t>boil off rate</t>
  </si>
  <si>
    <t>flash rate</t>
  </si>
  <si>
    <t>t</t>
  </si>
  <si>
    <t>%/d</t>
  </si>
  <si>
    <t>Reconversion</t>
  </si>
  <si>
    <t>Capacity CAPEX</t>
  </si>
  <si>
    <t>Capacity</t>
  </si>
  <si>
    <t>Heat required</t>
  </si>
  <si>
    <t>plant power</t>
  </si>
  <si>
    <t>H2 purification</t>
  </si>
  <si>
    <t>H2 recovery rate</t>
  </si>
  <si>
    <t>OSA h2 recovery rate</t>
  </si>
  <si>
    <t>Average terminal CAPEX</t>
  </si>
  <si>
    <t>Ship speed</t>
  </si>
  <si>
    <t>shipping_full_load_hours</t>
  </si>
  <si>
    <t>Fuel use</t>
  </si>
  <si>
    <t>MJ/km</t>
  </si>
  <si>
    <t>Boil-off rate</t>
  </si>
  <si>
    <t>1/d</t>
  </si>
  <si>
    <t>MWh/km</t>
  </si>
  <si>
    <t>https://www.sciencedirect.com/science/article/pii/S0306261920315750</t>
  </si>
  <si>
    <t>Ammonia Synthesis Unit (ASU)</t>
  </si>
  <si>
    <t>Mt/a</t>
  </si>
  <si>
    <t>OPEX fix</t>
  </si>
  <si>
    <t>%CAPEX</t>
  </si>
  <si>
    <t>€/MWh_x</t>
  </si>
  <si>
    <t>Terminal calculations</t>
  </si>
  <si>
    <t>IEA The future of hydrogen assumptions, Instead use fuel calculation above</t>
  </si>
  <si>
    <t>efficiency_substantial</t>
  </si>
  <si>
    <t>efficiency_energetic</t>
  </si>
  <si>
    <t>efficiency_dynamic</t>
  </si>
  <si>
    <t>electricity_consumption</t>
  </si>
  <si>
    <t>%/invest_cost</t>
  </si>
  <si>
    <t>MWh_el/MWh_x</t>
  </si>
  <si>
    <t>MWh_fuel/MWh_x</t>
  </si>
  <si>
    <t>Regasification</t>
  </si>
  <si>
    <t>ASU</t>
  </si>
  <si>
    <t>Haber_Bosch</t>
  </si>
  <si>
    <t>Synthesis</t>
  </si>
  <si>
    <t>Terminal</t>
  </si>
  <si>
    <t>Shipping</t>
  </si>
  <si>
    <t>Conversion</t>
  </si>
  <si>
    <t>process</t>
  </si>
  <si>
    <t>transport_commodity</t>
  </si>
  <si>
    <t>generalisation</t>
  </si>
  <si>
    <t>Cracking</t>
  </si>
  <si>
    <t>Methanolsation</t>
  </si>
  <si>
    <t>%/km</t>
  </si>
  <si>
    <t>Export Terminal</t>
  </si>
  <si>
    <t>Import Terminal</t>
  </si>
  <si>
    <t>https://www.belfercenter.org/sites/default/files/pantheon_files/files/publication/Report_EU%20Hydrogen_FINAL.pdf</t>
  </si>
  <si>
    <t>https://www.sdewes.org/jsdewes/pid12.0484</t>
  </si>
  <si>
    <t>Radosits et al</t>
  </si>
  <si>
    <t>https://pdf.sciencedirectassets.com/271472/1-s2.0-S0360319925X00422/1-s2.0-S0360319925012182/main.pdf?X-Amz-Security-Token=IQoJb3JpZ2luX2VjEJD%2F%2F%2F%2F%2F%2F%2F%2F%2F%2FwEaCXVzLWVhc3QtMSJHMEUCIEnsTTcsFowhwLMtYgKYySQzvwOR1LgVWZL4VWq7roAGAiEAy2vQuPGXGs6jSmbA7wK%2FUnpxwFZJ5a5nz0mRyCO2U%2FsqsgUIWBAFGgwwNTkwMDM1NDY4NjUiDDb6vN%2Fm2E9qYf3XdSqPBXPRX4tS1Ejwb12zgy6Z61yG0M1dBYhxACu3%2FqRL%2FMqiCeUO657Hz59TsnddCOTlxz9CBvjstrFjNaN9%2F24J8n3kyfzqdvYmeAIgolT12cQQqbBbZ2%2BEo0FHHsoOQG3mbJY0R2VUDc%2FZWcwjP723i0Vp6zKCNgsNielYuICzXQi8lD27u%2BOuLSjP%2BNg6uNeLnpbVOdI2pVal2xCkJ%2BtubXdvLcrAUtQi1WKOKjSCIlKL%2FtU90UcGIJhyVJaFv03oVL4MZZbf058mAbS53BNCByQz14O%2FMiJUAbQT8BqUyOpogip6aK2XotIoh7bmX%2BmF%2FJ%2F2ylM9thpMBcWDtJl2l5QO7ZRr5r77X8ndpzaKLOKA8KXRsqe7hBTs9HXULUZ%2Fw6Vw4QKUmLj9NTAuXf%2BM5fMlqojeAaIUnIPNjDQmH9LAQPT3tTzkXHPDU%2B7TIDx7KLF%2F3YKheHlO1%2BD0969U%2B7atF8k9Fe2ykLTIS6lq3ND5%2F6Lev4ZCRNnO%2Btg5f1Z%2BMErv8jpIThMt7vayjSgu3QtJ7%2BnDl1zzGGdEKBPeUZmjbFsHBeau4F6O8V7TP8TsBW9jcIaegyIGj7kxRbh0jQPeylbSsKs42dpxOGF1NfUDdxk2VfiLnjZZ%2FQD1O%2BwVPK8qduOnNecaeEBqN2InmSNjnZRg0ZHd5%2FEy5FHaN3SB2qcu33UDh2xZrCWh2R3uWYFh3F2eDf5hrDHjMX7kUvEHfwCRTTW8ZSZp7eKHbJ9TOM87DwHoD5j2N0MTKTC482mJdKSb6xqEMOwHhkiARKYS5KiUFE4CxSmOUk%2FtA1FLNe%2BjE8o0yW98TA%2BPLp2%2FHd%2FBJYDhbG5vHDPxD0lUovcey19wRbU72UZyT%2BCFQ84w9KrI1AY6sQGHjWPcZ6xQj4CrBBfQKgfI7sD4IlP0sBvIPB1B9xvcCLY9NH3dZjh51OdhJeDmxMeD1028aUpTQM85CRytfDAsR%2BIgep8%2Bzmih55w2%2BjI0i5xOWguPwCfvx96jP0cKxnYNd0Od%2F4A9kDPG%2Ff%2FLhEhe8tuVyKqV4e7cfZSvdQjHmDVLaSi3xvGVXp9J%2F7VBd4z%2BvtFdIuA%2FL9VyEdxvrsHJ%2B0iF4NMCFoo%2B9jfdTGoF21E%3D&amp;X-Amz-Algorithm=AWS4-HMAC-SHA256&amp;X-Amz-Date=20260828T232331Z&amp;X-Amz-SignedHeaders=host&amp;X-Amz-Expires=300&amp;X-Amz-Credential=ASIAQ3PHCVTYYACVTZLZ%2F20260828%2Fus-east-1%2Fs3%2Faws4_request&amp;X-Amz-Signature=c05af2d880e4a512daa064ba8c49c7f6f176dfdfdf964a52edd9cd5e8f868fc1&amp;hash=cc12c021dcd96e1b1054e5e13c8f7428c3a84081beae9b3f3c4413f3fa1881a2&amp;host=68042c943591013ac2b2430a89b270f6af2c76d8dfd086a07176afe7c76c2c61&amp;pii=S0360319925012182&amp;tid=spdf-58f8da29-096c-41e5-8aa5-d3c2465a442f&amp;sid=0d4591e34b5b4741081b46a3b13fd5c0c635gxrqb&amp;type=client&amp;tsoh=d3d3LnNjaWVuY2VkaXJlY3QuY29t&amp;rh=d3d3LnNjaWVuY2VkaXJlY3QuY29t&amp;ua=011105505c54575153&amp;rr=a32710719d958804&amp;cc=es</t>
  </si>
  <si>
    <t>Onat &amp; Demir</t>
  </si>
  <si>
    <t>kWh/kgNH3</t>
  </si>
  <si>
    <t>kWh_el/kWhNH3</t>
  </si>
  <si>
    <t>% energetic efficiency</t>
  </si>
  <si>
    <t>Benchmark Values from Claude</t>
  </si>
  <si>
    <t>Port Storage</t>
  </si>
  <si>
    <t>NH3 (liq)</t>
  </si>
  <si>
    <t>H2 (liq)</t>
  </si>
  <si>
    <t>MeOH (liq)</t>
  </si>
  <si>
    <t>final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</si>
</sst>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%"/>
    <numFmt numFmtId="167" formatCode="0.0000%"/>
    <numFmt numFmtId="168" formatCode="0.00000000"/>
    <numFmt numFmtId="169" formatCode="0.0000000000"/>
    <numFmt numFmtId="170" formatCode="0.0000000"/>
    <numFmt numFmtId="171" formatCode="0.0"/>
    <numFmt numFmtId="172" formatCode="0.0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6" fontId="0" fillId="2" borderId="0" xfId="1" applyNumberFormat="1" applyFont="1" applyFill="1"/>
    <xf numFmtId="166" fontId="0" fillId="3" borderId="0" xfId="0" applyNumberFormat="1" applyFill="1"/>
    <xf numFmtId="9" fontId="0" fillId="2" borderId="0" xfId="1" applyFont="1" applyFill="1"/>
    <xf numFmtId="167" fontId="0" fillId="3" borderId="0" xfId="1" applyNumberFormat="1" applyFont="1" applyFill="1"/>
    <xf numFmtId="2" fontId="0" fillId="3" borderId="0" xfId="0" applyNumberFormat="1" applyFill="1"/>
    <xf numFmtId="1" fontId="0" fillId="3" borderId="0" xfId="0" applyNumberFormat="1" applyFill="1"/>
    <xf numFmtId="0" fontId="0" fillId="5" borderId="0" xfId="0" applyFill="1"/>
    <xf numFmtId="9" fontId="0" fillId="5" borderId="0" xfId="1" applyFont="1" applyFill="1"/>
    <xf numFmtId="165" fontId="0" fillId="3" borderId="0" xfId="1" applyNumberFormat="1" applyFont="1" applyFill="1"/>
    <xf numFmtId="0" fontId="0" fillId="8" borderId="0" xfId="0" applyFill="1"/>
    <xf numFmtId="0" fontId="0" fillId="9" borderId="0" xfId="0" applyFill="1"/>
    <xf numFmtId="164" fontId="0" fillId="3" borderId="0" xfId="0" applyNumberFormat="1" applyFill="1"/>
    <xf numFmtId="0" fontId="8" fillId="0" borderId="0" xfId="2"/>
    <xf numFmtId="169" fontId="0" fillId="2" borderId="0" xfId="0" applyNumberFormat="1" applyFill="1"/>
    <xf numFmtId="168" fontId="0" fillId="2" borderId="0" xfId="0" applyNumberFormat="1" applyFill="1"/>
    <xf numFmtId="168" fontId="0" fillId="9" borderId="0" xfId="0" applyNumberFormat="1" applyFill="1"/>
    <xf numFmtId="0" fontId="0" fillId="10" borderId="0" xfId="0" applyFill="1"/>
    <xf numFmtId="165" fontId="0" fillId="0" borderId="0" xfId="0" applyNumberFormat="1"/>
    <xf numFmtId="0" fontId="9" fillId="0" borderId="0" xfId="0" applyFont="1" applyAlignment="1">
      <alignment vertical="center"/>
    </xf>
    <xf numFmtId="2" fontId="0" fillId="0" borderId="0" xfId="0" applyNumberFormat="1"/>
    <xf numFmtId="170" fontId="0" fillId="0" borderId="0" xfId="0" applyNumberFormat="1"/>
    <xf numFmtId="1" fontId="0" fillId="0" borderId="0" xfId="0" applyNumberFormat="1"/>
    <xf numFmtId="0" fontId="0" fillId="11" borderId="0" xfId="0" applyFill="1"/>
    <xf numFmtId="171" fontId="0" fillId="0" borderId="0" xfId="0" applyNumberFormat="1"/>
    <xf numFmtId="0" fontId="8" fillId="0" borderId="0" xfId="2" applyAlignment="1"/>
    <xf numFmtId="0" fontId="10" fillId="0" borderId="0" xfId="0" applyFont="1"/>
    <xf numFmtId="14" fontId="0" fillId="0" borderId="0" xfId="0" applyNumberFormat="1"/>
    <xf numFmtId="171" fontId="0" fillId="2" borderId="0" xfId="0" applyNumberFormat="1" applyFill="1"/>
    <xf numFmtId="1" fontId="0" fillId="2" borderId="0" xfId="0" applyNumberFormat="1" applyFill="1"/>
    <xf numFmtId="171" fontId="0" fillId="3" borderId="0" xfId="0" applyNumberFormat="1" applyFill="1"/>
    <xf numFmtId="171" fontId="0" fillId="8" borderId="0" xfId="0" applyNumberFormat="1" applyFill="1"/>
    <xf numFmtId="171" fontId="0" fillId="9" borderId="0" xfId="0" applyNumberFormat="1" applyFill="1"/>
    <xf numFmtId="0" fontId="0" fillId="12" borderId="0" xfId="0" applyFill="1"/>
    <xf numFmtId="0" fontId="0" fillId="13" borderId="0" xfId="0" applyFill="1"/>
    <xf numFmtId="0" fontId="0" fillId="0" borderId="1" xfId="0" applyBorder="1"/>
    <xf numFmtId="165" fontId="0" fillId="0" borderId="1" xfId="0" applyNumberFormat="1" applyBorder="1"/>
    <xf numFmtId="0" fontId="9" fillId="0" borderId="1" xfId="0" applyFont="1" applyBorder="1" applyAlignment="1">
      <alignment vertical="center"/>
    </xf>
    <xf numFmtId="1" fontId="0" fillId="0" borderId="1" xfId="0" applyNumberFormat="1" applyBorder="1"/>
    <xf numFmtId="168" fontId="0" fillId="0" borderId="0" xfId="0" applyNumberFormat="1"/>
    <xf numFmtId="0" fontId="0" fillId="14" borderId="0" xfId="0" applyFill="1"/>
    <xf numFmtId="0" fontId="0" fillId="7" borderId="0" xfId="0" applyFill="1"/>
    <xf numFmtId="1" fontId="0" fillId="7" borderId="0" xfId="0" applyNumberFormat="1" applyFill="1"/>
    <xf numFmtId="0" fontId="0" fillId="15" borderId="0" xfId="0" applyFill="1"/>
    <xf numFmtId="2" fontId="0" fillId="7" borderId="0" xfId="0" applyNumberFormat="1" applyFill="1"/>
    <xf numFmtId="165" fontId="0" fillId="7" borderId="0" xfId="0" applyNumberFormat="1" applyFill="1"/>
    <xf numFmtId="1" fontId="0" fillId="14" borderId="0" xfId="0" applyNumberFormat="1" applyFill="1"/>
    <xf numFmtId="172" fontId="0" fillId="0" borderId="1" xfId="0" applyNumberFormat="1" applyBorder="1"/>
    <xf numFmtId="172" fontId="0" fillId="0" borderId="0" xfId="0" applyNumberFormat="1"/>
    <xf numFmtId="0" fontId="0" fillId="6" borderId="0" xfId="0" applyFill="1"/>
    <xf numFmtId="1" fontId="0" fillId="6" borderId="0" xfId="0" applyNumberFormat="1" applyFill="1"/>
    <xf numFmtId="1" fontId="0" fillId="4" borderId="0" xfId="0" applyNumberFormat="1" applyFill="1"/>
    <xf numFmtId="2" fontId="0" fillId="0" borderId="1" xfId="0" applyNumberFormat="1" applyBorder="1"/>
    <xf numFmtId="0" fontId="0" fillId="7" borderId="2" xfId="0" applyFill="1" applyBorder="1"/>
    <xf numFmtId="0" fontId="0" fillId="14" borderId="2" xfId="0" applyFill="1" applyBorder="1"/>
    <xf numFmtId="0" fontId="0" fillId="4" borderId="2" xfId="0" applyFill="1" applyBorder="1"/>
    <xf numFmtId="0" fontId="0" fillId="0" borderId="2" xfId="0" applyBorder="1"/>
    <xf numFmtId="170" fontId="0" fillId="7" borderId="2" xfId="0" applyNumberFormat="1" applyFill="1" applyBorder="1"/>
    <xf numFmtId="0" fontId="0" fillId="2" borderId="2" xfId="0" applyFill="1" applyBorder="1"/>
    <xf numFmtId="168" fontId="0" fillId="10" borderId="2" xfId="0" applyNumberFormat="1" applyFill="1" applyBorder="1"/>
    <xf numFmtId="0" fontId="0" fillId="2" borderId="3" xfId="0" applyFill="1" applyBorder="1"/>
    <xf numFmtId="0" fontId="0" fillId="5" borderId="4" xfId="0" applyFill="1" applyBorder="1"/>
    <xf numFmtId="0" fontId="0" fillId="7" borderId="0" xfId="0" applyFill="1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textRotation="90"/>
    </xf>
    <xf numFmtId="0" fontId="0" fillId="6" borderId="0" xfId="0" applyFill="1" applyAlignment="1">
      <alignment horizontal="center" textRotation="90"/>
    </xf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173182</xdr:rowOff>
    </xdr:from>
    <xdr:to>
      <xdr:col>32</xdr:col>
      <xdr:colOff>460230</xdr:colOff>
      <xdr:row>26</xdr:row>
      <xdr:rowOff>116274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C260D2D-F861-4BC4-BAEA-2ED0F5DAA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4394" y="173182"/>
          <a:ext cx="6617806" cy="494612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</xdr:row>
      <xdr:rowOff>0</xdr:rowOff>
    </xdr:from>
    <xdr:to>
      <xdr:col>42</xdr:col>
      <xdr:colOff>287084</xdr:colOff>
      <xdr:row>18</xdr:row>
      <xdr:rowOff>66577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E2BF72C-A9FD-9CB3-1C54-E6A06DF13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7945" y="182671"/>
          <a:ext cx="5645440" cy="3168813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</xdr:row>
      <xdr:rowOff>0</xdr:rowOff>
    </xdr:from>
    <xdr:to>
      <xdr:col>49</xdr:col>
      <xdr:colOff>446107</xdr:colOff>
      <xdr:row>29</xdr:row>
      <xdr:rowOff>159151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43206B6-8EF0-A629-FD49-9A9C9B77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11781" y="182671"/>
          <a:ext cx="5035809" cy="5277121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46</xdr:col>
      <xdr:colOff>324125</xdr:colOff>
      <xdr:row>48</xdr:row>
      <xdr:rowOff>47923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85BE27A5-4032-1669-63CE-E83B3BFC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7945" y="6393493"/>
          <a:ext cx="8744399" cy="24194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el Erdelt" id="{17AD6196-ACB1-4828-983F-608896B4409F}" userId="fcb17e537cac51b3" providerId="Windows Live"/>
  <person displayName="Linsel, Oliver" id="{A324DC02-844A-49CC-9C59-1B688F404123}" userId="S::Oliver.Linsel@ruhr-uni-bochum.de::0299a77c-4990-418b-80cc-4e7bebc71e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07-28T14:39:39.62" personId="{17AD6196-ACB1-4828-983F-608896B4409F}" id="{FB591BC2-2C75-4B8C-A057-9E40AE8CB6CA}">
    <text>IRENA opt. Wert genommen (ist der Median aus PyPSA, IRENA opt. Und IRENA pess.)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3-07-29T09:00:26.11" personId="{17AD6196-ACB1-4828-983F-608896B4409F}" id="{90BEBD03-C983-481E-BCE3-A98448EA5726}">
    <text>Gemäß PyPSA (sonst keine Daten diesbezüglich in den anderen Quellen)</text>
  </threadedComment>
  <threadedComment ref="J2" dT="2024-04-05T07:46:05.47" personId="{A324DC02-844A-49CC-9C59-1B688F404123}" id="{349E601C-6AAD-4181-B0CE-1B8A8D1ABB6C}" parentId="{90BEBD03-C983-481E-BCE3-A98448EA5726}">
    <text>Stattdessen 25 Jahre - dann ist gleich mit Verflüssigung</text>
  </threadedComment>
  <threadedComment ref="L2" dT="2023-07-25T09:57:24.53" personId="{17AD6196-ACB1-4828-983F-608896B4409F}" id="{15542EF2-C16B-42F1-B097-B4388586FB06}">
    <text>IRENA: 8,5 kWh Strom für 1 kg H2</text>
  </threadedComment>
  <threadedComment ref="M2" dT="2023-07-25T09:39:29.00" personId="{17AD6196-ACB1-4828-983F-608896B4409F}" id="{43A2E931-E1E2-4861-A428-6A4444833B0B}">
    <text>IRENA -&gt; 4%; PyPSA -&gt; 2,5%
hier: 3,25%</text>
  </threadedComment>
  <threadedComment ref="AA2" dT="2023-07-28T14:39:39.62" personId="{17AD6196-ACB1-4828-983F-608896B4409F}" id="{55D2610A-43CC-4EAA-B9D4-015F1093548C}">
    <text>IRENA opt. Wert genommen (ist der Median aus PyPSA, IRENA opt. Und IRENA pess.)</text>
  </threadedComment>
  <threadedComment ref="AB2" dT="2023-07-29T09:00:26.11" personId="{17AD6196-ACB1-4828-983F-608896B4409F}" id="{C684691A-D099-42F3-B1EB-F6641802215C}">
    <text>Gemäß PyPSA (sonst keine Daten diesbezüglich in den anderen Quellen)</text>
  </threadedComment>
  <threadedComment ref="AB2" dT="2024-04-05T07:46:05.47" personId="{A324DC02-844A-49CC-9C59-1B688F404123}" id="{27897163-B2BA-4589-91A1-58510DCDF4AB}" parentId="{C684691A-D099-42F3-B1EB-F6641802215C}">
    <text>Stattdessen 25 Jahre - dann ist gleich mit Verflüssigung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hb.eu/files/downloads/2020_European-Hydrogen-Backbone_Report.pdf" TargetMode="External"/><Relationship Id="rId1" Type="http://schemas.openxmlformats.org/officeDocument/2006/relationships/hyperlink" Target="https://ehb.eu/files/downloads/2020_European-Hydrogen-Backbone_Report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hipandbunker.com/prices" TargetMode="External"/><Relationship Id="rId13" Type="http://schemas.openxmlformats.org/officeDocument/2006/relationships/hyperlink" Target="https://www.umweltbundesamt.de/sites/default/files/medien/1968/publikationen/co2_emission_factors_for_fossil_fuels_correction.pdf" TargetMode="External"/><Relationship Id="rId3" Type="http://schemas.openxmlformats.org/officeDocument/2006/relationships/hyperlink" Target="https://shipandbunker.com/prices" TargetMode="External"/><Relationship Id="rId7" Type="http://schemas.openxmlformats.org/officeDocument/2006/relationships/hyperlink" Target="https://shipandbunker.com/prices" TargetMode="External"/><Relationship Id="rId12" Type="http://schemas.openxmlformats.org/officeDocument/2006/relationships/hyperlink" Target="https://shipandbunker.com/prices" TargetMode="External"/><Relationship Id="rId17" Type="http://schemas.openxmlformats.org/officeDocument/2006/relationships/comments" Target="../comments2.xml"/><Relationship Id="rId2" Type="http://schemas.openxmlformats.org/officeDocument/2006/relationships/hyperlink" Target="https://www.offshore-energy.biz/worlds-1st-lh2-carrier-suiso-frontier-departs-for-australia/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https://oa.tib.eu/renate/items/34717383-7179-419d-800d-8a15eff7febb" TargetMode="External"/><Relationship Id="rId6" Type="http://schemas.openxmlformats.org/officeDocument/2006/relationships/hyperlink" Target="https://shipandbunker.com/prices" TargetMode="External"/><Relationship Id="rId11" Type="http://schemas.openxmlformats.org/officeDocument/2006/relationships/hyperlink" Target="https://shipandbunker.com/prices" TargetMode="External"/><Relationship Id="rId5" Type="http://schemas.openxmlformats.org/officeDocument/2006/relationships/hyperlink" Target="https://shipandbunker.com/prices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shipandbunker.com/prices" TargetMode="External"/><Relationship Id="rId4" Type="http://schemas.openxmlformats.org/officeDocument/2006/relationships/hyperlink" Target="https://shipandbunker.com/prices" TargetMode="External"/><Relationship Id="rId9" Type="http://schemas.openxmlformats.org/officeDocument/2006/relationships/hyperlink" Target="https://shipandbunker.com/prices" TargetMode="External"/><Relationship Id="rId14" Type="http://schemas.openxmlformats.org/officeDocument/2006/relationships/hyperlink" Target="https://www.belfercenter.org/sites/default/files/pantheon_files/files/publication/Report_EU%20Hydrogen_FINAL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opLeftCell="A35" workbookViewId="0">
      <selection activeCell="E44" sqref="E44"/>
    </sheetView>
  </sheetViews>
  <sheetFormatPr baseColWidth="10" defaultColWidth="8.7265625" defaultRowHeight="14.5" x14ac:dyDescent="0.35"/>
  <cols>
    <col min="1" max="1" width="23.1796875" bestFit="1" customWidth="1"/>
    <col min="2" max="2" width="17" bestFit="1" customWidth="1"/>
    <col min="3" max="3" width="19.90625" bestFit="1" customWidth="1"/>
    <col min="4" max="4" width="11.81640625" bestFit="1" customWidth="1"/>
    <col min="5" max="5" width="9.81640625" bestFit="1" customWidth="1"/>
    <col min="16" max="18" width="4.7265625" bestFit="1" customWidth="1"/>
  </cols>
  <sheetData>
    <row r="1" spans="1:21" x14ac:dyDescent="0.35">
      <c r="B1" t="s">
        <v>115</v>
      </c>
    </row>
    <row r="2" spans="1:21" x14ac:dyDescent="0.35">
      <c r="A2" t="s">
        <v>116</v>
      </c>
      <c r="C2" t="s">
        <v>101</v>
      </c>
      <c r="D2">
        <v>0.88</v>
      </c>
    </row>
    <row r="3" spans="1:21" x14ac:dyDescent="0.35">
      <c r="A3" t="s">
        <v>117</v>
      </c>
      <c r="B3" t="s">
        <v>105</v>
      </c>
      <c r="C3" t="s">
        <v>118</v>
      </c>
      <c r="D3">
        <v>33.33</v>
      </c>
      <c r="E3" t="s">
        <v>119</v>
      </c>
      <c r="F3">
        <v>1.4</v>
      </c>
      <c r="G3" t="s">
        <v>120</v>
      </c>
      <c r="H3" t="s">
        <v>121</v>
      </c>
      <c r="S3" t="s">
        <v>82</v>
      </c>
      <c r="T3" t="s">
        <v>83</v>
      </c>
    </row>
    <row r="4" spans="1:21" x14ac:dyDescent="0.35">
      <c r="A4" t="s">
        <v>117</v>
      </c>
      <c r="B4" t="s">
        <v>105</v>
      </c>
      <c r="C4" t="s">
        <v>118</v>
      </c>
      <c r="D4">
        <v>33.33</v>
      </c>
      <c r="E4" t="s">
        <v>119</v>
      </c>
      <c r="F4">
        <v>2.2999999999999998</v>
      </c>
      <c r="G4" t="str">
        <f>"-253°C"</f>
        <v>-253°C</v>
      </c>
    </row>
    <row r="5" spans="1:21" x14ac:dyDescent="0.35">
      <c r="A5" t="s">
        <v>117</v>
      </c>
      <c r="B5" t="s">
        <v>122</v>
      </c>
      <c r="C5" t="s">
        <v>118</v>
      </c>
      <c r="D5">
        <v>5.2</v>
      </c>
      <c r="E5" t="s">
        <v>119</v>
      </c>
      <c r="F5">
        <v>3.6</v>
      </c>
      <c r="H5" t="s">
        <v>121</v>
      </c>
      <c r="S5" s="2" t="s">
        <v>20</v>
      </c>
    </row>
    <row r="6" spans="1:21" x14ac:dyDescent="0.35">
      <c r="A6" t="s">
        <v>117</v>
      </c>
      <c r="B6" t="s">
        <v>123</v>
      </c>
      <c r="C6" t="s">
        <v>118</v>
      </c>
      <c r="D6">
        <v>5.5</v>
      </c>
      <c r="E6" t="s">
        <v>119</v>
      </c>
      <c r="F6">
        <v>4.4000000000000004</v>
      </c>
      <c r="S6" s="3" t="s">
        <v>35</v>
      </c>
    </row>
    <row r="7" spans="1:21" x14ac:dyDescent="0.35">
      <c r="A7" t="s">
        <v>117</v>
      </c>
      <c r="B7" t="s">
        <v>124</v>
      </c>
      <c r="C7" t="s">
        <v>118</v>
      </c>
      <c r="D7">
        <v>13.9</v>
      </c>
      <c r="E7" t="s">
        <v>119</v>
      </c>
      <c r="F7">
        <v>6.6</v>
      </c>
      <c r="S7" s="4" t="s">
        <v>21</v>
      </c>
    </row>
    <row r="8" spans="1:21" x14ac:dyDescent="0.35">
      <c r="A8" t="s">
        <v>117</v>
      </c>
      <c r="B8" t="s">
        <v>125</v>
      </c>
      <c r="C8" t="s">
        <v>118</v>
      </c>
      <c r="D8">
        <v>11.9</v>
      </c>
      <c r="E8" t="s">
        <v>119</v>
      </c>
      <c r="F8">
        <v>9.8000000000000007</v>
      </c>
      <c r="H8" t="s">
        <v>121</v>
      </c>
      <c r="S8" s="14" t="s">
        <v>91</v>
      </c>
    </row>
    <row r="10" spans="1:21" x14ac:dyDescent="0.35">
      <c r="A10" t="s">
        <v>0</v>
      </c>
      <c r="B10" t="s">
        <v>1</v>
      </c>
      <c r="C10" s="2">
        <v>267</v>
      </c>
      <c r="F10" t="s">
        <v>46</v>
      </c>
      <c r="S10" t="s">
        <v>81</v>
      </c>
      <c r="T10" t="s">
        <v>15</v>
      </c>
      <c r="U10">
        <v>6.9599999999999995E-2</v>
      </c>
    </row>
    <row r="11" spans="1:21" x14ac:dyDescent="0.35">
      <c r="A11" t="s">
        <v>320</v>
      </c>
      <c r="B11" t="s">
        <v>38</v>
      </c>
      <c r="C11" s="2">
        <v>1600000</v>
      </c>
      <c r="F11" t="s">
        <v>321</v>
      </c>
    </row>
    <row r="12" spans="1:21" x14ac:dyDescent="0.35">
      <c r="A12" t="s">
        <v>322</v>
      </c>
      <c r="B12" t="s">
        <v>9</v>
      </c>
      <c r="C12" s="2">
        <f>5*1000</f>
        <v>5000</v>
      </c>
      <c r="F12" t="s">
        <v>321</v>
      </c>
    </row>
    <row r="13" spans="1:21" x14ac:dyDescent="0.35">
      <c r="A13" t="s">
        <v>37</v>
      </c>
      <c r="B13" t="s">
        <v>100</v>
      </c>
      <c r="C13" s="3">
        <f>(C11*C25+C12)/(18000*C22)</f>
        <v>1.1834539799798433E-3</v>
      </c>
      <c r="F13" t="s">
        <v>321</v>
      </c>
    </row>
    <row r="14" spans="1:21" x14ac:dyDescent="0.35">
      <c r="A14" t="s">
        <v>42</v>
      </c>
      <c r="B14" t="s">
        <v>38</v>
      </c>
      <c r="C14" s="3">
        <f>C10*E23</f>
        <v>3471000</v>
      </c>
      <c r="S14" t="s">
        <v>92</v>
      </c>
    </row>
    <row r="15" spans="1:21" x14ac:dyDescent="0.35">
      <c r="A15" t="s">
        <v>324</v>
      </c>
      <c r="B15" t="s">
        <v>327</v>
      </c>
      <c r="C15" s="11">
        <f>T41/1000</f>
        <v>0.99</v>
      </c>
    </row>
    <row r="16" spans="1:21" x14ac:dyDescent="0.35">
      <c r="A16" t="s">
        <v>323</v>
      </c>
      <c r="B16" t="s">
        <v>325</v>
      </c>
      <c r="C16" s="2">
        <f>3200*C15^2+478.9*C15+263.2</f>
        <v>3873.6309999999994</v>
      </c>
      <c r="D16" t="s">
        <v>38</v>
      </c>
      <c r="E16" s="3">
        <f>C16*D2*1000</f>
        <v>3408795.2799999993</v>
      </c>
      <c r="F16" t="s">
        <v>326</v>
      </c>
    </row>
    <row r="17" spans="1:26" x14ac:dyDescent="0.35">
      <c r="A17" t="s">
        <v>2</v>
      </c>
      <c r="B17" t="s">
        <v>4</v>
      </c>
      <c r="C17" s="11">
        <v>50</v>
      </c>
      <c r="F17" t="s">
        <v>55</v>
      </c>
      <c r="S17" t="s">
        <v>93</v>
      </c>
    </row>
    <row r="18" spans="1:26" x14ac:dyDescent="0.35">
      <c r="A18" t="s">
        <v>2</v>
      </c>
      <c r="B18" t="s">
        <v>4</v>
      </c>
      <c r="C18" s="11">
        <v>40</v>
      </c>
      <c r="F18" t="s">
        <v>321</v>
      </c>
    </row>
    <row r="19" spans="1:26" x14ac:dyDescent="0.35">
      <c r="A19" t="s">
        <v>3</v>
      </c>
      <c r="B19" t="s">
        <v>15</v>
      </c>
      <c r="C19" s="12">
        <v>0.06</v>
      </c>
      <c r="S19" t="s">
        <v>94</v>
      </c>
    </row>
    <row r="20" spans="1:26" x14ac:dyDescent="0.35">
      <c r="A20" t="s">
        <v>18</v>
      </c>
      <c r="B20" t="s">
        <v>15</v>
      </c>
      <c r="C20" s="7">
        <v>0.6</v>
      </c>
      <c r="F20" t="s">
        <v>16</v>
      </c>
      <c r="S20" t="s">
        <v>95</v>
      </c>
    </row>
    <row r="21" spans="1:26" x14ac:dyDescent="0.35">
      <c r="A21" t="s">
        <v>19</v>
      </c>
      <c r="B21" t="s">
        <v>15</v>
      </c>
      <c r="C21" s="7">
        <v>0.4</v>
      </c>
      <c r="F21" t="s">
        <v>16</v>
      </c>
      <c r="S21" t="s">
        <v>97</v>
      </c>
    </row>
    <row r="22" spans="1:26" x14ac:dyDescent="0.35">
      <c r="A22" t="s">
        <v>13</v>
      </c>
      <c r="B22" t="s">
        <v>14</v>
      </c>
      <c r="C22" s="2">
        <v>5000</v>
      </c>
      <c r="D22" t="s">
        <v>15</v>
      </c>
      <c r="E22" s="9">
        <f>C22/8760</f>
        <v>0.57077625570776258</v>
      </c>
      <c r="F22" s="17" t="s">
        <v>16</v>
      </c>
      <c r="S22" t="s">
        <v>96</v>
      </c>
    </row>
    <row r="23" spans="1:26" x14ac:dyDescent="0.35">
      <c r="A23" t="s">
        <v>26</v>
      </c>
      <c r="B23" t="s">
        <v>27</v>
      </c>
      <c r="C23" s="2">
        <v>13</v>
      </c>
      <c r="D23" t="s">
        <v>34</v>
      </c>
      <c r="E23" s="10">
        <f>C23*1000</f>
        <v>13000</v>
      </c>
      <c r="F23" t="s">
        <v>16</v>
      </c>
      <c r="S23" t="s">
        <v>98</v>
      </c>
    </row>
    <row r="24" spans="1:26" x14ac:dyDescent="0.35">
      <c r="A24" t="s">
        <v>28</v>
      </c>
      <c r="B24" t="s">
        <v>29</v>
      </c>
      <c r="C24" s="2">
        <v>48</v>
      </c>
      <c r="D24" t="s">
        <v>30</v>
      </c>
      <c r="E24" s="3">
        <f>C24*2.54</f>
        <v>121.92</v>
      </c>
      <c r="F24" t="s">
        <v>16</v>
      </c>
    </row>
    <row r="25" spans="1:26" x14ac:dyDescent="0.35">
      <c r="A25" t="s">
        <v>36</v>
      </c>
      <c r="B25" t="s">
        <v>4</v>
      </c>
      <c r="C25" s="13">
        <f>((1+C19)^C17*C19)/((1+C19)^C17-1)</f>
        <v>6.3444286373866191E-2</v>
      </c>
      <c r="T25" t="s">
        <v>85</v>
      </c>
      <c r="U25" t="s">
        <v>56</v>
      </c>
      <c r="V25" t="s">
        <v>79</v>
      </c>
      <c r="W25" t="s">
        <v>84</v>
      </c>
      <c r="X25" t="s">
        <v>87</v>
      </c>
    </row>
    <row r="26" spans="1:26" x14ac:dyDescent="0.35">
      <c r="A26" t="s">
        <v>5</v>
      </c>
      <c r="B26" t="s">
        <v>9</v>
      </c>
      <c r="C26" s="3">
        <f>C25*C14</f>
        <v>220215.11800368954</v>
      </c>
      <c r="T26" t="s">
        <v>86</v>
      </c>
      <c r="U26" t="s">
        <v>38</v>
      </c>
      <c r="V26" t="s">
        <v>80</v>
      </c>
      <c r="W26" t="s">
        <v>34</v>
      </c>
      <c r="X26" t="s">
        <v>88</v>
      </c>
      <c r="Y26" t="s">
        <v>90</v>
      </c>
      <c r="Z26" t="s">
        <v>89</v>
      </c>
    </row>
    <row r="27" spans="1:26" x14ac:dyDescent="0.35">
      <c r="A27" t="s">
        <v>39</v>
      </c>
      <c r="B27" t="s">
        <v>40</v>
      </c>
      <c r="C27" s="9">
        <f>E23*C22</f>
        <v>65000000</v>
      </c>
      <c r="S27" t="s">
        <v>58</v>
      </c>
      <c r="W27">
        <f>V27*10.8/3600</f>
        <v>0</v>
      </c>
    </row>
    <row r="28" spans="1:26" x14ac:dyDescent="0.35">
      <c r="A28" t="s">
        <v>37</v>
      </c>
      <c r="B28" t="s">
        <v>41</v>
      </c>
      <c r="C28" s="3">
        <f>C26/C27</f>
        <v>3.3879248923644545E-3</v>
      </c>
      <c r="S28" t="s">
        <v>59</v>
      </c>
      <c r="W28">
        <f t="shared" ref="W28:W44" si="0">V28*10.8/3600</f>
        <v>0</v>
      </c>
    </row>
    <row r="29" spans="1:26" x14ac:dyDescent="0.35">
      <c r="C29" t="s">
        <v>10</v>
      </c>
      <c r="D29" t="s">
        <v>11</v>
      </c>
      <c r="E29" t="s">
        <v>12</v>
      </c>
      <c r="F29" t="s">
        <v>17</v>
      </c>
      <c r="S29" t="s">
        <v>60</v>
      </c>
      <c r="W29">
        <f t="shared" si="0"/>
        <v>0</v>
      </c>
    </row>
    <row r="30" spans="1:26" x14ac:dyDescent="0.35">
      <c r="A30" t="s">
        <v>8</v>
      </c>
      <c r="B30" t="s">
        <v>9</v>
      </c>
      <c r="C30" s="2">
        <f>0.7*10^9/22900</f>
        <v>30567.68558951965</v>
      </c>
      <c r="D30" s="2">
        <f>0.9*10^9/22900</f>
        <v>39301.31004366812</v>
      </c>
      <c r="E30" s="2">
        <f>1.1*10^9/22900</f>
        <v>48034.934497816597</v>
      </c>
      <c r="F30" t="s">
        <v>16</v>
      </c>
      <c r="Q30" s="71" t="s">
        <v>77</v>
      </c>
      <c r="S30" t="s">
        <v>61</v>
      </c>
      <c r="W30">
        <f t="shared" si="0"/>
        <v>0</v>
      </c>
    </row>
    <row r="31" spans="1:26" x14ac:dyDescent="0.35">
      <c r="A31" t="s">
        <v>22</v>
      </c>
      <c r="B31" t="s">
        <v>23</v>
      </c>
      <c r="C31" s="5">
        <v>1.4999999999999999E-2</v>
      </c>
      <c r="D31" s="6">
        <f>(E31-C31)/2+C31</f>
        <v>1.9E-2</v>
      </c>
      <c r="E31" s="5">
        <v>2.3E-2</v>
      </c>
      <c r="F31" s="17" t="s">
        <v>16</v>
      </c>
      <c r="Q31" s="71"/>
      <c r="S31" t="s">
        <v>62</v>
      </c>
      <c r="W31">
        <f t="shared" si="0"/>
        <v>0</v>
      </c>
    </row>
    <row r="32" spans="1:26" x14ac:dyDescent="0.35">
      <c r="A32" t="s">
        <v>25</v>
      </c>
      <c r="B32" t="s">
        <v>24</v>
      </c>
      <c r="C32" s="8">
        <f>C31/1000</f>
        <v>1.4999999999999999E-5</v>
      </c>
      <c r="D32" s="8">
        <f t="shared" ref="D32:E32" si="1">D31/1000</f>
        <v>1.9000000000000001E-5</v>
      </c>
      <c r="E32" s="8">
        <f t="shared" si="1"/>
        <v>2.3E-5</v>
      </c>
      <c r="F32" t="s">
        <v>16</v>
      </c>
      <c r="Q32" s="71"/>
      <c r="R32" s="66" t="s">
        <v>78</v>
      </c>
      <c r="S32" t="s">
        <v>63</v>
      </c>
      <c r="T32" s="14">
        <v>300</v>
      </c>
      <c r="W32">
        <f t="shared" si="0"/>
        <v>0</v>
      </c>
      <c r="X32" s="14">
        <v>1</v>
      </c>
      <c r="Z32" s="14">
        <v>1.3</v>
      </c>
    </row>
    <row r="33" spans="1:26" x14ac:dyDescent="0.35">
      <c r="A33" t="s">
        <v>31</v>
      </c>
      <c r="B33" t="s">
        <v>32</v>
      </c>
      <c r="C33" s="68" t="s">
        <v>33</v>
      </c>
      <c r="D33" s="68"/>
      <c r="E33" s="68"/>
      <c r="F33" t="s">
        <v>16</v>
      </c>
      <c r="Q33" s="71"/>
      <c r="R33" s="66"/>
      <c r="S33" t="s">
        <v>64</v>
      </c>
      <c r="W33">
        <f t="shared" si="0"/>
        <v>0</v>
      </c>
    </row>
    <row r="34" spans="1:26" x14ac:dyDescent="0.35">
      <c r="A34" t="s">
        <v>6</v>
      </c>
      <c r="B34" t="s">
        <v>9</v>
      </c>
      <c r="C34" s="2">
        <f>0.9*10^9/22900</f>
        <v>39301.31004366812</v>
      </c>
      <c r="D34" s="2">
        <f>1.2*10^9/22900</f>
        <v>52401.746724890829</v>
      </c>
      <c r="E34" s="2">
        <f>2.4*10^9/22900</f>
        <v>104803.49344978166</v>
      </c>
      <c r="F34" t="s">
        <v>16</v>
      </c>
      <c r="P34" s="70" t="s">
        <v>75</v>
      </c>
      <c r="Q34" s="71"/>
      <c r="R34" s="66"/>
      <c r="S34" t="s">
        <v>65</v>
      </c>
      <c r="T34" s="14">
        <v>400</v>
      </c>
      <c r="W34">
        <f t="shared" si="0"/>
        <v>0</v>
      </c>
      <c r="X34" s="14">
        <v>2</v>
      </c>
      <c r="Z34" s="14">
        <v>2.5</v>
      </c>
    </row>
    <row r="35" spans="1:26" x14ac:dyDescent="0.35">
      <c r="A35" t="s">
        <v>7</v>
      </c>
      <c r="B35" t="s">
        <v>9</v>
      </c>
      <c r="C35" s="2">
        <f>C34+C30</f>
        <v>69868.995633187762</v>
      </c>
      <c r="D35" s="2">
        <f t="shared" ref="D35:E35" si="2">D34+D30</f>
        <v>91703.056768558949</v>
      </c>
      <c r="E35" s="2">
        <f t="shared" si="2"/>
        <v>152838.42794759825</v>
      </c>
      <c r="F35" t="s">
        <v>16</v>
      </c>
      <c r="P35" s="70"/>
      <c r="Q35" s="71"/>
      <c r="R35" s="66"/>
      <c r="S35" t="s">
        <v>66</v>
      </c>
      <c r="W35">
        <f t="shared" si="0"/>
        <v>0</v>
      </c>
    </row>
    <row r="36" spans="1:26" x14ac:dyDescent="0.35">
      <c r="A36" t="s">
        <v>44</v>
      </c>
      <c r="B36" t="s">
        <v>45</v>
      </c>
      <c r="C36" s="69">
        <f>0.03</f>
        <v>0.03</v>
      </c>
      <c r="D36" s="69"/>
      <c r="E36" s="69"/>
      <c r="F36" t="s">
        <v>43</v>
      </c>
      <c r="P36" s="70"/>
      <c r="Q36" s="71"/>
      <c r="R36" s="66"/>
      <c r="S36" t="s">
        <v>67</v>
      </c>
      <c r="T36" s="14">
        <v>500</v>
      </c>
      <c r="W36">
        <f t="shared" si="0"/>
        <v>0</v>
      </c>
      <c r="X36" s="14">
        <v>3.5</v>
      </c>
      <c r="Z36" s="14">
        <v>4</v>
      </c>
    </row>
    <row r="37" spans="1:26" x14ac:dyDescent="0.35">
      <c r="P37" s="70"/>
      <c r="R37" s="66"/>
      <c r="S37" t="s">
        <v>68</v>
      </c>
      <c r="T37" s="14">
        <v>590</v>
      </c>
      <c r="W37">
        <f t="shared" si="0"/>
        <v>0</v>
      </c>
      <c r="X37" s="14">
        <v>5.5</v>
      </c>
      <c r="Z37" s="14">
        <v>6.5</v>
      </c>
    </row>
    <row r="38" spans="1:26" x14ac:dyDescent="0.35">
      <c r="A38" t="s">
        <v>99</v>
      </c>
      <c r="P38" s="70"/>
      <c r="R38" s="66"/>
      <c r="S38" t="s">
        <v>69</v>
      </c>
      <c r="T38" s="14">
        <v>690</v>
      </c>
      <c r="W38">
        <f t="shared" si="0"/>
        <v>0</v>
      </c>
      <c r="X38" s="14">
        <v>8</v>
      </c>
      <c r="Z38" s="14">
        <v>9</v>
      </c>
    </row>
    <row r="39" spans="1:26" x14ac:dyDescent="0.35">
      <c r="A39" t="s">
        <v>105</v>
      </c>
      <c r="B39" t="s">
        <v>106</v>
      </c>
      <c r="C39">
        <v>2021</v>
      </c>
      <c r="E39" t="s">
        <v>107</v>
      </c>
      <c r="F39" s="2">
        <v>36</v>
      </c>
      <c r="G39" t="s">
        <v>102</v>
      </c>
      <c r="H39" s="3">
        <f>F39</f>
        <v>36</v>
      </c>
      <c r="I39" t="s">
        <v>104</v>
      </c>
      <c r="K39" t="s">
        <v>103</v>
      </c>
      <c r="P39" s="70"/>
      <c r="R39" s="66"/>
      <c r="S39" t="s">
        <v>70</v>
      </c>
      <c r="T39" s="14">
        <v>790</v>
      </c>
      <c r="W39">
        <f t="shared" si="0"/>
        <v>0</v>
      </c>
      <c r="X39" s="14">
        <v>11</v>
      </c>
      <c r="Z39" s="14">
        <v>13</v>
      </c>
    </row>
    <row r="40" spans="1:26" x14ac:dyDescent="0.35">
      <c r="A40" t="s">
        <v>105</v>
      </c>
      <c r="B40" t="s">
        <v>106</v>
      </c>
      <c r="C40">
        <v>2021</v>
      </c>
      <c r="E40" t="s">
        <v>107</v>
      </c>
      <c r="F40" s="2">
        <v>42</v>
      </c>
      <c r="G40" t="s">
        <v>102</v>
      </c>
      <c r="H40" s="3">
        <f>F40</f>
        <v>42</v>
      </c>
      <c r="I40" t="s">
        <v>104</v>
      </c>
      <c r="K40" t="s">
        <v>103</v>
      </c>
      <c r="P40" s="70"/>
      <c r="R40" s="66"/>
      <c r="S40" t="s">
        <v>71</v>
      </c>
      <c r="W40">
        <f t="shared" si="0"/>
        <v>0</v>
      </c>
    </row>
    <row r="41" spans="1:26" x14ac:dyDescent="0.35">
      <c r="A41" t="s">
        <v>105</v>
      </c>
      <c r="B41" t="s">
        <v>106</v>
      </c>
      <c r="C41">
        <v>2022</v>
      </c>
      <c r="E41" t="s">
        <v>108</v>
      </c>
      <c r="F41" s="2">
        <v>0.66</v>
      </c>
      <c r="G41" t="s">
        <v>102</v>
      </c>
      <c r="H41" s="10">
        <f>F41*33.33</f>
        <v>21.997800000000002</v>
      </c>
      <c r="I41" t="s">
        <v>109</v>
      </c>
      <c r="K41" t="s">
        <v>110</v>
      </c>
      <c r="P41" s="70"/>
      <c r="R41" s="66"/>
      <c r="S41" t="s">
        <v>72</v>
      </c>
      <c r="T41" s="14">
        <v>990</v>
      </c>
      <c r="W41">
        <f t="shared" si="0"/>
        <v>0</v>
      </c>
      <c r="X41" s="14">
        <v>18</v>
      </c>
      <c r="Z41" s="14">
        <v>22</v>
      </c>
    </row>
    <row r="42" spans="1:26" x14ac:dyDescent="0.35">
      <c r="A42" t="s">
        <v>105</v>
      </c>
      <c r="B42" t="s">
        <v>106</v>
      </c>
      <c r="C42">
        <v>2020</v>
      </c>
      <c r="E42" t="s">
        <v>111</v>
      </c>
      <c r="F42" s="2">
        <f>0.16/1000</f>
        <v>1.6000000000000001E-4</v>
      </c>
      <c r="G42" t="s">
        <v>100</v>
      </c>
      <c r="H42" s="16">
        <f>F42/$D$3*1000</f>
        <v>4.8004800480048017E-3</v>
      </c>
      <c r="J42" t="s">
        <v>16</v>
      </c>
      <c r="K42" t="s">
        <v>112</v>
      </c>
      <c r="L42" t="s">
        <v>10</v>
      </c>
      <c r="Q42" s="67" t="s">
        <v>76</v>
      </c>
      <c r="S42" t="s">
        <v>73</v>
      </c>
      <c r="W42">
        <f t="shared" si="0"/>
        <v>0</v>
      </c>
    </row>
    <row r="43" spans="1:26" x14ac:dyDescent="0.35">
      <c r="A43" t="s">
        <v>105</v>
      </c>
      <c r="B43" t="s">
        <v>106</v>
      </c>
      <c r="C43">
        <v>2020</v>
      </c>
      <c r="E43" t="s">
        <v>111</v>
      </c>
      <c r="F43" s="2">
        <f>0.2/1000</f>
        <v>2.0000000000000001E-4</v>
      </c>
      <c r="G43" t="s">
        <v>100</v>
      </c>
      <c r="H43" s="16">
        <f t="shared" ref="H43:H50" si="3">F43/$D$3*1000</f>
        <v>6.0006000600060011E-3</v>
      </c>
      <c r="J43" t="s">
        <v>16</v>
      </c>
      <c r="K43" t="s">
        <v>112</v>
      </c>
      <c r="L43" t="s">
        <v>11</v>
      </c>
      <c r="Q43" s="67"/>
      <c r="S43" t="s">
        <v>57</v>
      </c>
      <c r="U43">
        <f>2.7*10^6</f>
        <v>2700000</v>
      </c>
      <c r="W43">
        <f t="shared" si="0"/>
        <v>0</v>
      </c>
    </row>
    <row r="44" spans="1:26" x14ac:dyDescent="0.35">
      <c r="A44" t="s">
        <v>105</v>
      </c>
      <c r="B44" t="s">
        <v>106</v>
      </c>
      <c r="C44">
        <v>2020</v>
      </c>
      <c r="E44" t="s">
        <v>111</v>
      </c>
      <c r="F44" s="2">
        <f>0.23/1000</f>
        <v>2.3000000000000001E-4</v>
      </c>
      <c r="G44" t="s">
        <v>100</v>
      </c>
      <c r="H44" s="16">
        <f t="shared" si="3"/>
        <v>6.900690069006901E-3</v>
      </c>
      <c r="J44" t="s">
        <v>16</v>
      </c>
      <c r="K44" t="s">
        <v>112</v>
      </c>
      <c r="L44" t="s">
        <v>12</v>
      </c>
      <c r="S44" t="s">
        <v>74</v>
      </c>
      <c r="W44">
        <f t="shared" si="0"/>
        <v>0</v>
      </c>
    </row>
    <row r="45" spans="1:26" x14ac:dyDescent="0.35">
      <c r="A45" t="s">
        <v>105</v>
      </c>
      <c r="B45" t="s">
        <v>106</v>
      </c>
      <c r="C45">
        <v>2020</v>
      </c>
      <c r="E45" t="s">
        <v>111</v>
      </c>
      <c r="F45" s="2">
        <f>0.07/1000</f>
        <v>7.0000000000000007E-5</v>
      </c>
      <c r="G45" t="s">
        <v>100</v>
      </c>
      <c r="H45" s="16">
        <f t="shared" si="3"/>
        <v>2.1002100210021006E-3</v>
      </c>
      <c r="J45" t="s">
        <v>16</v>
      </c>
      <c r="K45" t="s">
        <v>113</v>
      </c>
      <c r="L45" t="s">
        <v>10</v>
      </c>
    </row>
    <row r="46" spans="1:26" x14ac:dyDescent="0.35">
      <c r="A46" t="s">
        <v>105</v>
      </c>
      <c r="B46" t="s">
        <v>106</v>
      </c>
      <c r="C46">
        <v>2020</v>
      </c>
      <c r="E46" t="s">
        <v>111</v>
      </c>
      <c r="F46" s="2">
        <f>0.11/1000</f>
        <v>1.1E-4</v>
      </c>
      <c r="G46" t="s">
        <v>100</v>
      </c>
      <c r="H46" s="16">
        <f t="shared" si="3"/>
        <v>3.3003300330033004E-3</v>
      </c>
      <c r="J46" t="s">
        <v>16</v>
      </c>
      <c r="K46" t="s">
        <v>113</v>
      </c>
      <c r="L46" t="s">
        <v>11</v>
      </c>
    </row>
    <row r="47" spans="1:26" x14ac:dyDescent="0.35">
      <c r="A47" t="s">
        <v>105</v>
      </c>
      <c r="B47" t="s">
        <v>106</v>
      </c>
      <c r="C47">
        <v>2020</v>
      </c>
      <c r="E47" t="s">
        <v>111</v>
      </c>
      <c r="F47" s="2">
        <f>0.15/1000</f>
        <v>1.4999999999999999E-4</v>
      </c>
      <c r="G47" t="s">
        <v>100</v>
      </c>
      <c r="H47" s="16">
        <f t="shared" si="3"/>
        <v>4.5004500450045006E-3</v>
      </c>
      <c r="J47" t="s">
        <v>16</v>
      </c>
      <c r="K47" t="s">
        <v>113</v>
      </c>
      <c r="L47" t="s">
        <v>12</v>
      </c>
    </row>
    <row r="48" spans="1:26" x14ac:dyDescent="0.35">
      <c r="A48" t="s">
        <v>105</v>
      </c>
      <c r="B48" t="s">
        <v>106</v>
      </c>
      <c r="C48">
        <v>2020</v>
      </c>
      <c r="E48" t="s">
        <v>111</v>
      </c>
      <c r="F48" s="2">
        <f>0.09/1000</f>
        <v>8.9999999999999992E-5</v>
      </c>
      <c r="G48" t="s">
        <v>100</v>
      </c>
      <c r="H48" s="16">
        <f t="shared" si="3"/>
        <v>2.7002700270027003E-3</v>
      </c>
      <c r="J48" t="s">
        <v>16</v>
      </c>
      <c r="K48" t="s">
        <v>114</v>
      </c>
      <c r="L48" t="s">
        <v>10</v>
      </c>
    </row>
    <row r="49" spans="1:12" x14ac:dyDescent="0.35">
      <c r="A49" t="s">
        <v>105</v>
      </c>
      <c r="B49" t="s">
        <v>106</v>
      </c>
      <c r="C49">
        <v>2020</v>
      </c>
      <c r="E49" t="s">
        <v>111</v>
      </c>
      <c r="F49" s="2">
        <f>0.13/1000</f>
        <v>1.3000000000000002E-4</v>
      </c>
      <c r="G49" t="s">
        <v>100</v>
      </c>
      <c r="H49" s="16">
        <f t="shared" si="3"/>
        <v>3.9003900390039013E-3</v>
      </c>
      <c r="J49" t="s">
        <v>16</v>
      </c>
      <c r="K49" t="s">
        <v>114</v>
      </c>
      <c r="L49" t="s">
        <v>11</v>
      </c>
    </row>
    <row r="50" spans="1:12" x14ac:dyDescent="0.35">
      <c r="A50" t="s">
        <v>105</v>
      </c>
      <c r="B50" t="s">
        <v>106</v>
      </c>
      <c r="C50">
        <v>2020</v>
      </c>
      <c r="E50" t="s">
        <v>111</v>
      </c>
      <c r="F50" s="2">
        <f>0.17/1000</f>
        <v>1.7000000000000001E-4</v>
      </c>
      <c r="G50" t="s">
        <v>100</v>
      </c>
      <c r="H50" s="16">
        <f t="shared" si="3"/>
        <v>5.1005100510051011E-3</v>
      </c>
      <c r="J50" t="s">
        <v>16</v>
      </c>
      <c r="K50" t="s">
        <v>114</v>
      </c>
      <c r="L50" t="s">
        <v>12</v>
      </c>
    </row>
    <row r="52" spans="1:12" x14ac:dyDescent="0.35">
      <c r="A52" t="s">
        <v>333</v>
      </c>
      <c r="B52" t="s">
        <v>334</v>
      </c>
      <c r="C52" t="s">
        <v>332</v>
      </c>
      <c r="D52" t="s">
        <v>336</v>
      </c>
      <c r="E52" t="s">
        <v>337</v>
      </c>
    </row>
    <row r="53" spans="1:12" x14ac:dyDescent="0.35">
      <c r="A53" t="s">
        <v>330</v>
      </c>
      <c r="B53" t="str">
        <f>"°E ~ C*(Ws/sqrt(K))"</f>
        <v>°E ~ C*(Ws/sqrt(K))</v>
      </c>
      <c r="C53" t="s">
        <v>34</v>
      </c>
      <c r="J53" t="s">
        <v>331</v>
      </c>
    </row>
    <row r="54" spans="1:12" x14ac:dyDescent="0.35">
      <c r="A54" t="s">
        <v>330</v>
      </c>
      <c r="B54" t="str">
        <f>"Qn*Hs"</f>
        <v>Qn*Hs</v>
      </c>
      <c r="C54" t="s">
        <v>34</v>
      </c>
    </row>
    <row r="55" spans="1:12" x14ac:dyDescent="0.35">
      <c r="A55" t="s">
        <v>335</v>
      </c>
      <c r="B55" t="str">
        <f>"Hsn/sqrt(dn)"</f>
        <v>Hsn/sqrt(dn)</v>
      </c>
      <c r="D55">
        <v>13.4</v>
      </c>
      <c r="E55">
        <v>14.7</v>
      </c>
    </row>
    <row r="56" spans="1:12" x14ac:dyDescent="0.35">
      <c r="A56" t="s">
        <v>338</v>
      </c>
      <c r="B56" t="str">
        <f>"Z/Zn"</f>
        <v>Z/Zn</v>
      </c>
      <c r="D56">
        <v>1.03</v>
      </c>
      <c r="E56">
        <v>0.87</v>
      </c>
    </row>
    <row r="64" spans="1:12" x14ac:dyDescent="0.35">
      <c r="A64" t="s">
        <v>47</v>
      </c>
    </row>
    <row r="65" spans="1:4" x14ac:dyDescent="0.35">
      <c r="A65" t="s">
        <v>48</v>
      </c>
      <c r="B65" t="s">
        <v>15</v>
      </c>
      <c r="C65">
        <v>5.0000000000000001E-3</v>
      </c>
    </row>
    <row r="66" spans="1:4" x14ac:dyDescent="0.35">
      <c r="A66" t="s">
        <v>49</v>
      </c>
      <c r="B66" t="s">
        <v>50</v>
      </c>
      <c r="C66">
        <v>100</v>
      </c>
    </row>
    <row r="67" spans="1:4" x14ac:dyDescent="0.35">
      <c r="A67" t="s">
        <v>52</v>
      </c>
      <c r="C67">
        <v>1000</v>
      </c>
    </row>
    <row r="69" spans="1:4" x14ac:dyDescent="0.35">
      <c r="A69" t="s">
        <v>51</v>
      </c>
      <c r="C69" t="s">
        <v>53</v>
      </c>
      <c r="D69" t="s">
        <v>54</v>
      </c>
    </row>
    <row r="70" spans="1:4" x14ac:dyDescent="0.35">
      <c r="A70">
        <v>10</v>
      </c>
      <c r="C70">
        <f t="shared" ref="C70:C91" si="4">1/100*($C$65+(LOG(A70,$C$66)*(A70/$C$67)))</f>
        <v>1E-4</v>
      </c>
      <c r="D70">
        <f>1-C70</f>
        <v>0.99990000000000001</v>
      </c>
    </row>
    <row r="71" spans="1:4" x14ac:dyDescent="0.35">
      <c r="A71">
        <v>50</v>
      </c>
      <c r="C71">
        <f t="shared" si="4"/>
        <v>4.7474250108400464E-4</v>
      </c>
      <c r="D71">
        <f t="shared" ref="D71:D91" si="5">1-C71</f>
        <v>0.99952525749891596</v>
      </c>
    </row>
    <row r="72" spans="1:4" x14ac:dyDescent="0.35">
      <c r="A72">
        <v>100</v>
      </c>
      <c r="C72">
        <f t="shared" si="4"/>
        <v>1.0500000000000002E-3</v>
      </c>
      <c r="D72">
        <f t="shared" si="5"/>
        <v>0.99895</v>
      </c>
    </row>
    <row r="73" spans="1:4" x14ac:dyDescent="0.35">
      <c r="A73">
        <v>200</v>
      </c>
      <c r="C73">
        <f t="shared" si="4"/>
        <v>2.3510299956639811E-3</v>
      </c>
      <c r="D73">
        <f t="shared" si="5"/>
        <v>0.99764897000433606</v>
      </c>
    </row>
    <row r="74" spans="1:4" x14ac:dyDescent="0.35">
      <c r="A74">
        <v>300</v>
      </c>
      <c r="C74">
        <f t="shared" si="4"/>
        <v>3.7656818820794931E-3</v>
      </c>
      <c r="D74">
        <f t="shared" si="5"/>
        <v>0.99623431811792051</v>
      </c>
    </row>
    <row r="75" spans="1:4" x14ac:dyDescent="0.35">
      <c r="A75">
        <v>400</v>
      </c>
      <c r="C75">
        <f t="shared" si="4"/>
        <v>5.2541199826559252E-3</v>
      </c>
      <c r="D75">
        <f t="shared" si="5"/>
        <v>0.9947458800173441</v>
      </c>
    </row>
    <row r="76" spans="1:4" x14ac:dyDescent="0.35">
      <c r="A76">
        <v>500</v>
      </c>
      <c r="C76">
        <f t="shared" si="4"/>
        <v>6.797425010840046E-3</v>
      </c>
      <c r="D76">
        <f t="shared" si="5"/>
        <v>0.99320257498915998</v>
      </c>
    </row>
    <row r="77" spans="1:4" x14ac:dyDescent="0.35">
      <c r="A77">
        <v>600</v>
      </c>
      <c r="C77">
        <f t="shared" si="4"/>
        <v>8.3844537511509297E-3</v>
      </c>
      <c r="D77">
        <f t="shared" si="5"/>
        <v>0.99161554624884907</v>
      </c>
    </row>
    <row r="78" spans="1:4" x14ac:dyDescent="0.35">
      <c r="A78">
        <v>700</v>
      </c>
      <c r="C78">
        <f t="shared" si="4"/>
        <v>1.0007843140049898E-2</v>
      </c>
      <c r="D78">
        <f t="shared" si="5"/>
        <v>0.98999215685995012</v>
      </c>
    </row>
    <row r="79" spans="1:4" x14ac:dyDescent="0.35">
      <c r="A79">
        <v>800</v>
      </c>
      <c r="C79">
        <f t="shared" si="4"/>
        <v>1.1662359947967773E-2</v>
      </c>
      <c r="D79">
        <f t="shared" si="5"/>
        <v>0.98833764005203217</v>
      </c>
    </row>
    <row r="80" spans="1:4" x14ac:dyDescent="0.35">
      <c r="A80">
        <v>900</v>
      </c>
      <c r="C80">
        <f t="shared" si="4"/>
        <v>1.3344091292476962E-2</v>
      </c>
      <c r="D80">
        <f t="shared" si="5"/>
        <v>0.98665590870752307</v>
      </c>
    </row>
    <row r="81" spans="1:4" x14ac:dyDescent="0.35">
      <c r="A81">
        <v>1000</v>
      </c>
      <c r="C81">
        <f t="shared" si="4"/>
        <v>1.5049999999999997E-2</v>
      </c>
      <c r="D81">
        <f t="shared" si="5"/>
        <v>0.98494999999999999</v>
      </c>
    </row>
    <row r="82" spans="1:4" x14ac:dyDescent="0.35">
      <c r="A82">
        <v>1100</v>
      </c>
      <c r="C82">
        <f t="shared" si="4"/>
        <v>1.6777659768370236E-2</v>
      </c>
      <c r="D82">
        <f t="shared" si="5"/>
        <v>0.9832223402316298</v>
      </c>
    </row>
    <row r="83" spans="1:4" x14ac:dyDescent="0.35">
      <c r="A83">
        <v>1200</v>
      </c>
      <c r="C83">
        <f t="shared" si="4"/>
        <v>1.8525087476285746E-2</v>
      </c>
      <c r="D83">
        <f t="shared" si="5"/>
        <v>0.98147491252371422</v>
      </c>
    </row>
    <row r="84" spans="1:4" x14ac:dyDescent="0.35">
      <c r="A84">
        <v>1300</v>
      </c>
      <c r="C84">
        <f t="shared" si="4"/>
        <v>2.0290631789994434E-2</v>
      </c>
      <c r="D84">
        <f t="shared" si="5"/>
        <v>0.97970936821000554</v>
      </c>
    </row>
    <row r="85" spans="1:4" x14ac:dyDescent="0.35">
      <c r="A85">
        <v>1400</v>
      </c>
      <c r="C85">
        <f t="shared" si="4"/>
        <v>2.2072896249747662E-2</v>
      </c>
      <c r="D85">
        <f t="shared" si="5"/>
        <v>0.97792710375025238</v>
      </c>
    </row>
    <row r="86" spans="1:4" x14ac:dyDescent="0.35">
      <c r="A86">
        <v>1500</v>
      </c>
      <c r="C86">
        <f t="shared" si="4"/>
        <v>2.3870684442917605E-2</v>
      </c>
      <c r="D86">
        <f t="shared" si="5"/>
        <v>0.97612931555708238</v>
      </c>
    </row>
    <row r="87" spans="1:4" x14ac:dyDescent="0.35">
      <c r="A87">
        <v>1600</v>
      </c>
      <c r="C87">
        <f t="shared" si="4"/>
        <v>2.5682959861247398E-2</v>
      </c>
      <c r="D87">
        <f t="shared" si="5"/>
        <v>0.97431704013875264</v>
      </c>
    </row>
    <row r="88" spans="1:4" x14ac:dyDescent="0.35">
      <c r="A88">
        <v>1700</v>
      </c>
      <c r="C88">
        <f t="shared" si="4"/>
        <v>2.7508815831715328E-2</v>
      </c>
      <c r="D88">
        <f t="shared" si="5"/>
        <v>0.97249118416828462</v>
      </c>
    </row>
    <row r="89" spans="1:4" x14ac:dyDescent="0.35">
      <c r="A89">
        <v>1800</v>
      </c>
      <c r="C89">
        <f t="shared" si="4"/>
        <v>2.9347452545929756E-2</v>
      </c>
      <c r="D89">
        <f t="shared" si="5"/>
        <v>0.97065254745407026</v>
      </c>
    </row>
    <row r="90" spans="1:4" x14ac:dyDescent="0.35">
      <c r="A90">
        <v>1900</v>
      </c>
      <c r="C90">
        <f t="shared" si="4"/>
        <v>3.1198159209051873E-2</v>
      </c>
      <c r="D90">
        <f t="shared" si="5"/>
        <v>0.96880184079094811</v>
      </c>
    </row>
    <row r="91" spans="1:4" x14ac:dyDescent="0.35">
      <c r="A91">
        <v>2000</v>
      </c>
      <c r="C91">
        <f t="shared" si="4"/>
        <v>3.306029995663981E-2</v>
      </c>
      <c r="D91">
        <f t="shared" si="5"/>
        <v>0.96693970004336016</v>
      </c>
    </row>
  </sheetData>
  <mergeCells count="6">
    <mergeCell ref="R32:R41"/>
    <mergeCell ref="Q42:Q43"/>
    <mergeCell ref="C33:E33"/>
    <mergeCell ref="C36:E36"/>
    <mergeCell ref="P34:P41"/>
    <mergeCell ref="Q30:Q36"/>
  </mergeCells>
  <hyperlinks>
    <hyperlink ref="F22" r:id="rId1" xr:uid="{DF88F322-4EB1-48B1-88C3-4FDA0FF82930}"/>
    <hyperlink ref="F31" r:id="rId2" xr:uid="{205140F6-68C6-4B2B-A525-4FF5925088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49F4-1A46-4249-8E58-009E045A064C}">
  <dimension ref="A1:T191"/>
  <sheetViews>
    <sheetView topLeftCell="A34" workbookViewId="0">
      <selection activeCell="H160" sqref="H160"/>
    </sheetView>
  </sheetViews>
  <sheetFormatPr baseColWidth="10" defaultRowHeight="14.5" x14ac:dyDescent="0.35"/>
  <cols>
    <col min="1" max="1" width="11.453125" bestFit="1" customWidth="1"/>
    <col min="2" max="2" width="9" bestFit="1" customWidth="1"/>
    <col min="3" max="3" width="8" bestFit="1" customWidth="1"/>
    <col min="4" max="4" width="9.7265625" bestFit="1" customWidth="1"/>
    <col min="5" max="5" width="5.81640625" customWidth="1"/>
    <col min="6" max="6" width="13.36328125" style="2" bestFit="1" customWidth="1"/>
    <col min="7" max="7" width="6.54296875" customWidth="1"/>
    <col min="9" max="9" width="11.81640625" bestFit="1" customWidth="1"/>
    <col min="10" max="10" width="10.453125" bestFit="1" customWidth="1"/>
    <col min="11" max="13" width="5.81640625" customWidth="1"/>
    <col min="14" max="14" width="11.81640625" style="2" bestFit="1" customWidth="1"/>
    <col min="16" max="16" width="9" customWidth="1"/>
    <col min="17" max="17" width="9" style="2" bestFit="1" customWidth="1"/>
    <col min="18" max="18" width="9" customWidth="1"/>
    <col min="20" max="20" width="18.36328125" style="19" bestFit="1" customWidth="1"/>
  </cols>
  <sheetData>
    <row r="1" spans="1:20" x14ac:dyDescent="0.35">
      <c r="A1" s="15" t="s">
        <v>288</v>
      </c>
      <c r="B1" s="15" t="s">
        <v>318</v>
      </c>
      <c r="C1" s="15" t="s">
        <v>319</v>
      </c>
      <c r="D1" s="15" t="s">
        <v>289</v>
      </c>
      <c r="E1" s="15" t="s">
        <v>126</v>
      </c>
      <c r="F1" s="15" t="s">
        <v>344</v>
      </c>
      <c r="G1" s="15" t="s">
        <v>340</v>
      </c>
      <c r="H1" s="15" t="s">
        <v>3</v>
      </c>
      <c r="I1" s="15" t="s">
        <v>342</v>
      </c>
      <c r="J1" s="15" t="s">
        <v>328</v>
      </c>
      <c r="K1" s="15" t="s">
        <v>329</v>
      </c>
      <c r="L1" s="15" t="s">
        <v>339</v>
      </c>
      <c r="M1" s="15" t="s">
        <v>343</v>
      </c>
      <c r="N1" s="15" t="s">
        <v>347</v>
      </c>
      <c r="O1" s="15" t="s">
        <v>341</v>
      </c>
      <c r="P1" s="15" t="s">
        <v>348</v>
      </c>
      <c r="Q1" s="15" t="s">
        <v>346</v>
      </c>
      <c r="R1" s="15" t="s">
        <v>349</v>
      </c>
      <c r="S1" s="15" t="s">
        <v>345</v>
      </c>
      <c r="T1" s="20" t="s">
        <v>350</v>
      </c>
    </row>
    <row r="2" spans="1:20" x14ac:dyDescent="0.35">
      <c r="A2" t="s">
        <v>240</v>
      </c>
      <c r="B2" s="1">
        <v>17.873887</v>
      </c>
      <c r="C2" s="1">
        <v>-11.202692000000001</v>
      </c>
      <c r="D2" t="s">
        <v>129</v>
      </c>
      <c r="E2" t="s">
        <v>128</v>
      </c>
      <c r="F2" s="18">
        <f t="shared" ref="F2:F33" si="0">(J2*I2)/(L2*M2)</f>
        <v>2.1213368459308741E-3</v>
      </c>
      <c r="G2">
        <v>40</v>
      </c>
      <c r="H2">
        <v>0.117945088980835</v>
      </c>
      <c r="I2">
        <f>((1+H2)^G2*H2)/((1+H2)^G2-1)</f>
        <v>0.11932519758361167</v>
      </c>
      <c r="J2">
        <v>1600000</v>
      </c>
      <c r="K2">
        <v>1000</v>
      </c>
      <c r="L2">
        <v>18000</v>
      </c>
      <c r="M2">
        <v>5000</v>
      </c>
      <c r="N2" s="19">
        <f t="shared" ref="N2:N33" si="1">P2*F2*0.5*(1+O2)</f>
        <v>3.5002057957859426E-5</v>
      </c>
      <c r="O2">
        <v>0.1</v>
      </c>
      <c r="P2">
        <v>0.03</v>
      </c>
      <c r="Q2" s="2">
        <f>R2*S2</f>
        <v>1.4444027999999999E-3</v>
      </c>
      <c r="R2">
        <f>0.019/1000</f>
        <v>1.9000000000000001E-5</v>
      </c>
      <c r="S2">
        <v>76.021199999999993</v>
      </c>
      <c r="T2" s="19">
        <f t="shared" ref="T2:T33" si="2">F2+Q2+N2</f>
        <v>3.6007417038887335E-3</v>
      </c>
    </row>
    <row r="3" spans="1:20" x14ac:dyDescent="0.35">
      <c r="A3" t="s">
        <v>241</v>
      </c>
      <c r="B3" s="1">
        <v>29.918886000000001</v>
      </c>
      <c r="C3" s="1">
        <v>-3.3730560000000001</v>
      </c>
      <c r="D3" t="s">
        <v>129</v>
      </c>
      <c r="E3" t="s">
        <v>128</v>
      </c>
      <c r="F3" s="18">
        <f t="shared" si="0"/>
        <v>4.0118803793644528E-3</v>
      </c>
      <c r="G3">
        <v>40</v>
      </c>
      <c r="H3">
        <v>0.22560227982465</v>
      </c>
      <c r="I3">
        <f t="shared" ref="I3:I66" si="3">((1+H3)^G3*H3)/((1+H3)^G3-1)</f>
        <v>0.22566827133925049</v>
      </c>
      <c r="J3">
        <v>1600000</v>
      </c>
      <c r="K3">
        <v>1000</v>
      </c>
      <c r="L3">
        <v>18000</v>
      </c>
      <c r="M3">
        <v>5000</v>
      </c>
      <c r="N3" s="19">
        <f t="shared" si="1"/>
        <v>6.6196026259513472E-5</v>
      </c>
      <c r="O3">
        <v>0.1</v>
      </c>
      <c r="P3">
        <v>0.03</v>
      </c>
      <c r="Q3" s="2">
        <f t="shared" ref="Q3:Q66" si="4">R3*S3</f>
        <v>1.5354260999999999E-3</v>
      </c>
      <c r="R3">
        <f t="shared" ref="R3:R66" si="5">0.019/1000</f>
        <v>1.9000000000000001E-5</v>
      </c>
      <c r="S3">
        <v>80.811899999999994</v>
      </c>
      <c r="T3" s="19">
        <f t="shared" si="2"/>
        <v>5.6135025056239666E-3</v>
      </c>
    </row>
    <row r="4" spans="1:20" x14ac:dyDescent="0.35">
      <c r="A4" t="s">
        <v>242</v>
      </c>
      <c r="B4" s="1">
        <v>2.3158340000000002</v>
      </c>
      <c r="C4" s="1">
        <v>9.3076899999999991</v>
      </c>
      <c r="D4" t="s">
        <v>129</v>
      </c>
      <c r="E4" t="s">
        <v>128</v>
      </c>
      <c r="F4" s="18">
        <f t="shared" si="0"/>
        <v>1.7838704609717249E-3</v>
      </c>
      <c r="G4">
        <v>40</v>
      </c>
      <c r="H4">
        <v>9.7954265183249095E-2</v>
      </c>
      <c r="I4">
        <f t="shared" si="3"/>
        <v>0.10034271342965952</v>
      </c>
      <c r="J4">
        <v>1600000</v>
      </c>
      <c r="K4">
        <v>1000</v>
      </c>
      <c r="L4">
        <v>18000</v>
      </c>
      <c r="M4">
        <v>5000</v>
      </c>
      <c r="N4" s="19">
        <f t="shared" si="1"/>
        <v>2.9433862606033462E-5</v>
      </c>
      <c r="O4">
        <v>0.1</v>
      </c>
      <c r="P4">
        <v>0.03</v>
      </c>
      <c r="Q4" s="2">
        <f t="shared" si="4"/>
        <v>1.4811051000000002E-3</v>
      </c>
      <c r="R4">
        <f t="shared" si="5"/>
        <v>1.9000000000000001E-5</v>
      </c>
      <c r="S4">
        <v>77.9529</v>
      </c>
      <c r="T4" s="19">
        <f t="shared" si="2"/>
        <v>3.2944094235777587E-3</v>
      </c>
    </row>
    <row r="5" spans="1:20" x14ac:dyDescent="0.35">
      <c r="A5" t="s">
        <v>243</v>
      </c>
      <c r="B5" s="1">
        <v>-1.561593</v>
      </c>
      <c r="C5" s="1">
        <v>12.238333000000001</v>
      </c>
      <c r="D5" t="s">
        <v>129</v>
      </c>
      <c r="E5" t="s">
        <v>128</v>
      </c>
      <c r="F5" s="18">
        <f t="shared" si="0"/>
        <v>2.2505015128800507E-3</v>
      </c>
      <c r="G5">
        <v>40</v>
      </c>
      <c r="H5">
        <v>0.125471204369523</v>
      </c>
      <c r="I5">
        <f t="shared" si="3"/>
        <v>0.12659071009950285</v>
      </c>
      <c r="J5">
        <v>1600000</v>
      </c>
      <c r="K5">
        <v>1000</v>
      </c>
      <c r="L5">
        <v>18000</v>
      </c>
      <c r="M5">
        <v>5000</v>
      </c>
      <c r="N5" s="19">
        <f t="shared" si="1"/>
        <v>3.7133274962520843E-5</v>
      </c>
      <c r="O5">
        <v>0.1</v>
      </c>
      <c r="P5">
        <v>0.03</v>
      </c>
      <c r="Q5" s="2">
        <f t="shared" si="4"/>
        <v>1.4427916000000001E-3</v>
      </c>
      <c r="R5">
        <f t="shared" si="5"/>
        <v>1.9000000000000001E-5</v>
      </c>
      <c r="S5">
        <v>75.936400000000006</v>
      </c>
      <c r="T5" s="19">
        <f t="shared" si="2"/>
        <v>3.7304263878425721E-3</v>
      </c>
    </row>
    <row r="6" spans="1:20" x14ac:dyDescent="0.35">
      <c r="A6" t="s">
        <v>244</v>
      </c>
      <c r="B6" s="1">
        <v>24.684866</v>
      </c>
      <c r="C6" s="1">
        <v>-22.328474</v>
      </c>
      <c r="D6" t="s">
        <v>129</v>
      </c>
      <c r="E6" t="s">
        <v>128</v>
      </c>
      <c r="F6" s="18">
        <f t="shared" si="0"/>
        <v>1.3457920742973692E-3</v>
      </c>
      <c r="G6">
        <v>40</v>
      </c>
      <c r="H6">
        <v>7.0793106146071205E-2</v>
      </c>
      <c r="I6">
        <f t="shared" si="3"/>
        <v>7.5700804179227019E-2</v>
      </c>
      <c r="J6">
        <v>1600000</v>
      </c>
      <c r="K6">
        <v>1000</v>
      </c>
      <c r="L6">
        <v>18000</v>
      </c>
      <c r="M6">
        <v>5000</v>
      </c>
      <c r="N6" s="19">
        <f t="shared" si="1"/>
        <v>2.2205569225906592E-5</v>
      </c>
      <c r="O6">
        <v>0.1</v>
      </c>
      <c r="P6">
        <v>0.03</v>
      </c>
      <c r="Q6" s="2">
        <f t="shared" si="4"/>
        <v>8.9671450000000012E-4</v>
      </c>
      <c r="R6">
        <f t="shared" si="5"/>
        <v>1.9000000000000001E-5</v>
      </c>
      <c r="S6">
        <v>47.195500000000003</v>
      </c>
      <c r="T6" s="19">
        <f t="shared" si="2"/>
        <v>2.2647121435232756E-3</v>
      </c>
    </row>
    <row r="7" spans="1:20" x14ac:dyDescent="0.35">
      <c r="A7" t="s">
        <v>245</v>
      </c>
      <c r="B7" s="1">
        <v>20.939444000000002</v>
      </c>
      <c r="C7" s="1">
        <v>6.6111110000000002</v>
      </c>
      <c r="D7" t="s">
        <v>129</v>
      </c>
      <c r="E7" t="s">
        <v>128</v>
      </c>
      <c r="F7" s="18">
        <f t="shared" si="0"/>
        <v>4.0118803793644528E-3</v>
      </c>
      <c r="G7">
        <v>40</v>
      </c>
      <c r="H7">
        <v>0.22560227982465</v>
      </c>
      <c r="I7">
        <f t="shared" si="3"/>
        <v>0.22566827133925049</v>
      </c>
      <c r="J7">
        <v>1600000</v>
      </c>
      <c r="K7">
        <v>1000</v>
      </c>
      <c r="L7">
        <v>18000</v>
      </c>
      <c r="M7">
        <v>5000</v>
      </c>
      <c r="N7" s="19">
        <f t="shared" si="1"/>
        <v>6.6196026259513472E-5</v>
      </c>
      <c r="O7">
        <v>0.1</v>
      </c>
      <c r="P7">
        <v>0.03</v>
      </c>
      <c r="Q7" s="2">
        <f t="shared" si="4"/>
        <v>1.4456454000000001E-3</v>
      </c>
      <c r="R7">
        <f t="shared" si="5"/>
        <v>1.9000000000000001E-5</v>
      </c>
      <c r="S7">
        <v>76.086600000000004</v>
      </c>
      <c r="T7" s="19">
        <f t="shared" si="2"/>
        <v>5.5237218056239665E-3</v>
      </c>
    </row>
    <row r="8" spans="1:20" x14ac:dyDescent="0.35">
      <c r="A8" t="s">
        <v>246</v>
      </c>
      <c r="B8" s="1">
        <v>-5.5470800000000002</v>
      </c>
      <c r="C8" s="1">
        <v>7.5399890000000003</v>
      </c>
      <c r="D8" t="s">
        <v>129</v>
      </c>
      <c r="E8" t="s">
        <v>128</v>
      </c>
      <c r="F8" s="18">
        <f t="shared" si="0"/>
        <v>1.5937035426235612E-3</v>
      </c>
      <c r="G8">
        <v>40</v>
      </c>
      <c r="H8">
        <v>8.6386260465032394E-2</v>
      </c>
      <c r="I8">
        <f t="shared" si="3"/>
        <v>8.9645824272575322E-2</v>
      </c>
      <c r="J8">
        <v>1600000</v>
      </c>
      <c r="K8">
        <v>1000</v>
      </c>
      <c r="L8">
        <v>18000</v>
      </c>
      <c r="M8">
        <v>5000</v>
      </c>
      <c r="N8" s="19">
        <f t="shared" si="1"/>
        <v>2.6296108453288763E-5</v>
      </c>
      <c r="O8">
        <v>0.1</v>
      </c>
      <c r="P8">
        <v>0.03</v>
      </c>
      <c r="Q8" s="2">
        <f t="shared" si="4"/>
        <v>1.4175368000000001E-3</v>
      </c>
      <c r="R8">
        <f t="shared" si="5"/>
        <v>1.9000000000000001E-5</v>
      </c>
      <c r="S8">
        <v>74.607200000000006</v>
      </c>
      <c r="T8" s="19">
        <f t="shared" si="2"/>
        <v>3.0375364510768503E-3</v>
      </c>
    </row>
    <row r="9" spans="1:20" x14ac:dyDescent="0.35">
      <c r="A9" t="s">
        <v>247</v>
      </c>
      <c r="B9" s="1">
        <v>12.354722000000001</v>
      </c>
      <c r="C9" s="1">
        <v>7.3697220000000003</v>
      </c>
      <c r="D9" t="s">
        <v>129</v>
      </c>
      <c r="E9" t="s">
        <v>128</v>
      </c>
      <c r="F9" s="18">
        <f t="shared" si="0"/>
        <v>2.2073245946927699E-3</v>
      </c>
      <c r="G9">
        <v>40</v>
      </c>
      <c r="H9">
        <v>0.122961416752223</v>
      </c>
      <c r="I9">
        <f t="shared" si="3"/>
        <v>0.12416200845146833</v>
      </c>
      <c r="J9">
        <v>1600000</v>
      </c>
      <c r="K9">
        <v>1000</v>
      </c>
      <c r="L9">
        <v>18000</v>
      </c>
      <c r="M9">
        <v>5000</v>
      </c>
      <c r="N9" s="19">
        <f t="shared" si="1"/>
        <v>3.6420855812430709E-5</v>
      </c>
      <c r="O9">
        <v>0.1</v>
      </c>
      <c r="P9">
        <v>0.03</v>
      </c>
      <c r="Q9" s="2">
        <f t="shared" si="4"/>
        <v>1.5079787000000001E-3</v>
      </c>
      <c r="R9">
        <f t="shared" si="5"/>
        <v>1.9000000000000001E-5</v>
      </c>
      <c r="S9">
        <v>79.3673</v>
      </c>
      <c r="T9" s="19">
        <f t="shared" si="2"/>
        <v>3.7517241505052004E-3</v>
      </c>
    </row>
    <row r="10" spans="1:20" x14ac:dyDescent="0.35">
      <c r="A10" t="s">
        <v>248</v>
      </c>
      <c r="B10" s="1">
        <v>21.758664</v>
      </c>
      <c r="C10" s="1">
        <v>-4.0383329999999997</v>
      </c>
      <c r="D10" t="s">
        <v>129</v>
      </c>
      <c r="E10" t="s">
        <v>128</v>
      </c>
      <c r="F10" s="18">
        <f t="shared" si="0"/>
        <v>2.0817975561643145E-3</v>
      </c>
      <c r="G10">
        <v>40</v>
      </c>
      <c r="H10">
        <v>0.115629614609485</v>
      </c>
      <c r="I10">
        <f t="shared" si="3"/>
        <v>0.11710111253424269</v>
      </c>
      <c r="J10">
        <v>1600000</v>
      </c>
      <c r="K10">
        <v>1000</v>
      </c>
      <c r="L10">
        <v>18000</v>
      </c>
      <c r="M10">
        <v>5000</v>
      </c>
      <c r="N10" s="19">
        <f t="shared" si="1"/>
        <v>3.4349659676711192E-5</v>
      </c>
      <c r="O10">
        <v>0.1</v>
      </c>
      <c r="P10">
        <v>0.03</v>
      </c>
      <c r="Q10" s="2">
        <f t="shared" si="4"/>
        <v>1.4910041E-3</v>
      </c>
      <c r="R10">
        <f t="shared" si="5"/>
        <v>1.9000000000000001E-5</v>
      </c>
      <c r="S10">
        <v>78.4739</v>
      </c>
      <c r="T10" s="19">
        <f t="shared" si="2"/>
        <v>3.6071513158410255E-3</v>
      </c>
    </row>
    <row r="11" spans="1:20" x14ac:dyDescent="0.35">
      <c r="A11" t="s">
        <v>249</v>
      </c>
      <c r="B11" s="1">
        <v>15.827659000000001</v>
      </c>
      <c r="C11" s="1">
        <v>-0.228021</v>
      </c>
      <c r="D11" t="s">
        <v>129</v>
      </c>
      <c r="E11" t="s">
        <v>128</v>
      </c>
      <c r="F11" s="18">
        <f t="shared" si="0"/>
        <v>2.4829399669324486E-3</v>
      </c>
      <c r="G11">
        <v>40</v>
      </c>
      <c r="H11">
        <v>0.13889674791624901</v>
      </c>
      <c r="I11">
        <f t="shared" si="3"/>
        <v>0.13966537313995023</v>
      </c>
      <c r="J11">
        <v>1600000</v>
      </c>
      <c r="K11">
        <v>1000</v>
      </c>
      <c r="L11">
        <v>18000</v>
      </c>
      <c r="M11">
        <v>5000</v>
      </c>
      <c r="N11" s="19">
        <f t="shared" si="1"/>
        <v>4.0968509454385401E-5</v>
      </c>
      <c r="O11">
        <v>0.1</v>
      </c>
      <c r="P11">
        <v>0.03</v>
      </c>
      <c r="Q11" s="2">
        <f t="shared" si="4"/>
        <v>1.4880914000000001E-3</v>
      </c>
      <c r="R11">
        <f t="shared" si="5"/>
        <v>1.9000000000000001E-5</v>
      </c>
      <c r="S11">
        <v>78.320599999999999</v>
      </c>
      <c r="T11" s="19">
        <f t="shared" si="2"/>
        <v>4.0119998763868342E-3</v>
      </c>
    </row>
    <row r="12" spans="1:20" x14ac:dyDescent="0.35">
      <c r="A12" t="s">
        <v>290</v>
      </c>
      <c r="B12" s="1">
        <v>-24.013197000000002</v>
      </c>
      <c r="C12" s="1">
        <v>16.002082000000001</v>
      </c>
      <c r="D12" t="s">
        <v>129</v>
      </c>
      <c r="E12" t="s">
        <v>128</v>
      </c>
      <c r="F12" s="18">
        <f t="shared" si="0"/>
        <v>4.0118803793644528E-3</v>
      </c>
      <c r="G12">
        <v>40</v>
      </c>
      <c r="H12">
        <f>MAX($H$2:$H$11,$H$13:$H$16,$H$18:$H$33,$H$35:$H$52)</f>
        <v>0.22560227982465</v>
      </c>
      <c r="I12">
        <f t="shared" si="3"/>
        <v>0.22566827133925049</v>
      </c>
      <c r="J12">
        <v>1600000</v>
      </c>
      <c r="K12">
        <v>1000</v>
      </c>
      <c r="L12">
        <v>18000</v>
      </c>
      <c r="M12">
        <v>5000</v>
      </c>
      <c r="N12" s="19">
        <f t="shared" si="1"/>
        <v>6.6196026259513472E-5</v>
      </c>
      <c r="O12">
        <v>0.1</v>
      </c>
      <c r="P12">
        <v>0.03</v>
      </c>
      <c r="Q12" s="2">
        <f t="shared" si="4"/>
        <v>1.6339068999999999E-3</v>
      </c>
      <c r="R12">
        <f t="shared" si="5"/>
        <v>1.9000000000000001E-5</v>
      </c>
      <c r="S12">
        <v>85.995099999999994</v>
      </c>
      <c r="T12" s="19">
        <f t="shared" si="2"/>
        <v>5.7119833056239666E-3</v>
      </c>
    </row>
    <row r="13" spans="1:20" x14ac:dyDescent="0.35">
      <c r="A13" t="s">
        <v>250</v>
      </c>
      <c r="B13" s="1">
        <v>42.590274999999998</v>
      </c>
      <c r="C13" s="1">
        <v>11.825138000000001</v>
      </c>
      <c r="D13" t="s">
        <v>129</v>
      </c>
      <c r="E13" t="s">
        <v>128</v>
      </c>
      <c r="F13" s="18">
        <f t="shared" si="0"/>
        <v>4.0118803793644528E-3</v>
      </c>
      <c r="G13">
        <v>40</v>
      </c>
      <c r="H13">
        <v>0.22560227982465</v>
      </c>
      <c r="I13">
        <f t="shared" si="3"/>
        <v>0.22566827133925049</v>
      </c>
      <c r="J13">
        <v>1600000</v>
      </c>
      <c r="K13">
        <v>1000</v>
      </c>
      <c r="L13">
        <v>18000</v>
      </c>
      <c r="M13">
        <v>5000</v>
      </c>
      <c r="N13" s="19">
        <f t="shared" si="1"/>
        <v>6.6196026259513472E-5</v>
      </c>
      <c r="O13">
        <v>0.1</v>
      </c>
      <c r="P13">
        <v>0.03</v>
      </c>
      <c r="Q13" s="2">
        <f t="shared" si="4"/>
        <v>1.5735097000000001E-3</v>
      </c>
      <c r="R13">
        <f>0.019/1000</f>
        <v>1.9000000000000001E-5</v>
      </c>
      <c r="S13">
        <v>82.816299999999998</v>
      </c>
      <c r="T13" s="19">
        <f t="shared" si="2"/>
        <v>5.6515861056239671E-3</v>
      </c>
    </row>
    <row r="14" spans="1:20" x14ac:dyDescent="0.35">
      <c r="A14" t="s">
        <v>251</v>
      </c>
      <c r="B14" s="1">
        <v>3.2986824713827798</v>
      </c>
      <c r="C14" s="1">
        <v>35.271255811359502</v>
      </c>
      <c r="D14" t="s">
        <v>129</v>
      </c>
      <c r="E14" t="s">
        <v>128</v>
      </c>
      <c r="F14" s="18">
        <f t="shared" si="0"/>
        <v>1.5883919960707671E-3</v>
      </c>
      <c r="G14">
        <v>40</v>
      </c>
      <c r="H14">
        <v>8.6058956259108699E-2</v>
      </c>
      <c r="I14">
        <f t="shared" si="3"/>
        <v>8.9347049778980656E-2</v>
      </c>
      <c r="J14">
        <v>1600000</v>
      </c>
      <c r="K14">
        <v>1000</v>
      </c>
      <c r="L14">
        <v>18000</v>
      </c>
      <c r="M14">
        <v>5000</v>
      </c>
      <c r="N14" s="19">
        <f t="shared" si="1"/>
        <v>2.6208467935167658E-5</v>
      </c>
      <c r="O14">
        <v>0.1</v>
      </c>
      <c r="P14">
        <v>0.03</v>
      </c>
      <c r="Q14" s="2">
        <f t="shared" si="4"/>
        <v>6.7493890000000002E-4</v>
      </c>
      <c r="R14">
        <f t="shared" si="5"/>
        <v>1.9000000000000001E-5</v>
      </c>
      <c r="S14">
        <v>35.523099999999999</v>
      </c>
      <c r="T14" s="19">
        <f t="shared" si="2"/>
        <v>2.2895393640059349E-3</v>
      </c>
    </row>
    <row r="15" spans="1:20" x14ac:dyDescent="0.35">
      <c r="A15" t="s">
        <v>252</v>
      </c>
      <c r="B15" s="1">
        <v>31.2164723376459</v>
      </c>
      <c r="C15" s="1">
        <v>30.296519450269699</v>
      </c>
      <c r="D15" t="s">
        <v>129</v>
      </c>
      <c r="E15" t="s">
        <v>128</v>
      </c>
      <c r="F15" s="18">
        <f t="shared" si="0"/>
        <v>2.2981055999137562E-3</v>
      </c>
      <c r="G15">
        <v>40</v>
      </c>
      <c r="H15">
        <v>0.128231970748552</v>
      </c>
      <c r="I15">
        <f t="shared" si="3"/>
        <v>0.12926843999514878</v>
      </c>
      <c r="J15">
        <v>1600000</v>
      </c>
      <c r="K15">
        <v>1000</v>
      </c>
      <c r="L15">
        <v>18000</v>
      </c>
      <c r="M15">
        <v>5000</v>
      </c>
      <c r="N15" s="19">
        <f t="shared" si="1"/>
        <v>3.7918742398576979E-5</v>
      </c>
      <c r="O15">
        <v>0.1</v>
      </c>
      <c r="P15">
        <v>0.03</v>
      </c>
      <c r="Q15" s="2">
        <f t="shared" si="4"/>
        <v>6.3061570000000008E-4</v>
      </c>
      <c r="R15">
        <f t="shared" si="5"/>
        <v>1.9000000000000001E-5</v>
      </c>
      <c r="S15">
        <v>33.190300000000001</v>
      </c>
      <c r="T15" s="19">
        <f t="shared" si="2"/>
        <v>2.9666400423123333E-3</v>
      </c>
    </row>
    <row r="16" spans="1:20" x14ac:dyDescent="0.35">
      <c r="A16" t="s">
        <v>253</v>
      </c>
      <c r="B16" s="1">
        <v>39.782333999999999</v>
      </c>
      <c r="C16" s="1">
        <v>15.179384000000001</v>
      </c>
      <c r="D16" t="s">
        <v>129</v>
      </c>
      <c r="E16" t="s">
        <v>128</v>
      </c>
      <c r="F16" s="18">
        <f t="shared" si="0"/>
        <v>4.0118803793644528E-3</v>
      </c>
      <c r="G16">
        <v>40</v>
      </c>
      <c r="H16">
        <v>0.22560227982465</v>
      </c>
      <c r="I16">
        <f t="shared" si="3"/>
        <v>0.22566827133925049</v>
      </c>
      <c r="J16">
        <v>1600000</v>
      </c>
      <c r="K16">
        <v>1000</v>
      </c>
      <c r="L16">
        <v>18000</v>
      </c>
      <c r="M16">
        <v>5000</v>
      </c>
      <c r="N16" s="19">
        <f t="shared" si="1"/>
        <v>6.6196026259513472E-5</v>
      </c>
      <c r="O16">
        <v>0.1</v>
      </c>
      <c r="P16">
        <v>0.03</v>
      </c>
      <c r="Q16" s="2">
        <f t="shared" si="4"/>
        <v>1.5665975E-3</v>
      </c>
      <c r="R16">
        <f t="shared" si="5"/>
        <v>1.9000000000000001E-5</v>
      </c>
      <c r="S16">
        <v>82.452500000000001</v>
      </c>
      <c r="T16" s="19">
        <f t="shared" si="2"/>
        <v>5.6446739056239667E-3</v>
      </c>
    </row>
    <row r="17" spans="1:20" x14ac:dyDescent="0.35">
      <c r="A17" t="s">
        <v>291</v>
      </c>
      <c r="B17" s="1">
        <v>-12.885833999999999</v>
      </c>
      <c r="C17" s="1">
        <v>24.215527000000002</v>
      </c>
      <c r="D17" t="s">
        <v>129</v>
      </c>
      <c r="E17" t="s">
        <v>128</v>
      </c>
      <c r="F17" s="18">
        <f t="shared" si="0"/>
        <v>4.1288828501459584E-3</v>
      </c>
      <c r="G17">
        <v>40</v>
      </c>
      <c r="H17">
        <f>MAX(H7:H16,H18:H21,H23:H38,H40:H57)</f>
        <v>0.23219486047100901</v>
      </c>
      <c r="I17">
        <f t="shared" si="3"/>
        <v>0.23224966032071018</v>
      </c>
      <c r="J17">
        <v>1600000</v>
      </c>
      <c r="K17">
        <v>1000</v>
      </c>
      <c r="L17">
        <v>18000</v>
      </c>
      <c r="M17">
        <v>5000</v>
      </c>
      <c r="N17" s="19">
        <f t="shared" si="1"/>
        <v>6.8126567027408308E-5</v>
      </c>
      <c r="O17">
        <v>0.1</v>
      </c>
      <c r="P17">
        <v>0.03</v>
      </c>
      <c r="Q17" s="2">
        <f t="shared" si="4"/>
        <v>1.6339068999999999E-3</v>
      </c>
      <c r="R17">
        <f t="shared" si="5"/>
        <v>1.9000000000000001E-5</v>
      </c>
      <c r="S17">
        <v>85.995099999999994</v>
      </c>
      <c r="T17" s="19">
        <f t="shared" si="2"/>
        <v>5.8309163171733668E-3</v>
      </c>
    </row>
    <row r="18" spans="1:20" x14ac:dyDescent="0.35">
      <c r="A18" t="s">
        <v>254</v>
      </c>
      <c r="B18" s="1">
        <v>40.489673000000003</v>
      </c>
      <c r="C18" s="1">
        <v>9.1449999999999996</v>
      </c>
      <c r="D18" t="s">
        <v>129</v>
      </c>
      <c r="E18" t="s">
        <v>128</v>
      </c>
      <c r="F18" s="18">
        <f t="shared" si="0"/>
        <v>2.4634491876117199E-3</v>
      </c>
      <c r="G18">
        <v>40</v>
      </c>
      <c r="H18">
        <v>0.13777578771412199</v>
      </c>
      <c r="I18">
        <f t="shared" si="3"/>
        <v>0.13856901680315925</v>
      </c>
      <c r="J18">
        <v>1600000</v>
      </c>
      <c r="K18">
        <v>1000</v>
      </c>
      <c r="L18">
        <v>18000</v>
      </c>
      <c r="M18">
        <v>5000</v>
      </c>
      <c r="N18" s="19">
        <f t="shared" si="1"/>
        <v>4.0646911595593381E-5</v>
      </c>
      <c r="O18">
        <v>0.1</v>
      </c>
      <c r="P18">
        <v>0.03</v>
      </c>
      <c r="Q18" s="2">
        <f t="shared" si="4"/>
        <v>1.6339068999999999E-3</v>
      </c>
      <c r="R18">
        <f t="shared" si="5"/>
        <v>1.9000000000000001E-5</v>
      </c>
      <c r="S18">
        <v>85.995099999999994</v>
      </c>
      <c r="T18" s="19">
        <f t="shared" si="2"/>
        <v>4.1380029992073132E-3</v>
      </c>
    </row>
    <row r="19" spans="1:20" x14ac:dyDescent="0.35">
      <c r="A19" t="s">
        <v>255</v>
      </c>
      <c r="B19" s="1">
        <v>11.609444</v>
      </c>
      <c r="C19" s="1">
        <v>-0.80368899999999999</v>
      </c>
      <c r="D19" t="s">
        <v>129</v>
      </c>
      <c r="E19" t="s">
        <v>128</v>
      </c>
      <c r="F19" s="18">
        <f t="shared" si="0"/>
        <v>2.4634491876117199E-3</v>
      </c>
      <c r="G19">
        <v>40</v>
      </c>
      <c r="H19">
        <v>0.13777578771412199</v>
      </c>
      <c r="I19">
        <f t="shared" si="3"/>
        <v>0.13856901680315925</v>
      </c>
      <c r="J19">
        <v>1600000</v>
      </c>
      <c r="K19">
        <v>1000</v>
      </c>
      <c r="L19">
        <v>18000</v>
      </c>
      <c r="M19">
        <v>5000</v>
      </c>
      <c r="N19" s="19">
        <f t="shared" si="1"/>
        <v>4.0646911595593381E-5</v>
      </c>
      <c r="O19">
        <v>0.1</v>
      </c>
      <c r="P19">
        <v>0.03</v>
      </c>
      <c r="Q19" s="2">
        <f t="shared" si="4"/>
        <v>1.5438222000000001E-3</v>
      </c>
      <c r="R19">
        <f t="shared" si="5"/>
        <v>1.9000000000000001E-5</v>
      </c>
      <c r="S19">
        <v>81.253799999999998</v>
      </c>
      <c r="T19" s="19">
        <f t="shared" si="2"/>
        <v>4.0479182992073136E-3</v>
      </c>
    </row>
    <row r="20" spans="1:20" x14ac:dyDescent="0.35">
      <c r="A20" t="s">
        <v>256</v>
      </c>
      <c r="B20" s="1">
        <v>-1.0231939999999999</v>
      </c>
      <c r="C20" s="1">
        <v>7.9465269999999997</v>
      </c>
      <c r="D20" t="s">
        <v>129</v>
      </c>
      <c r="E20" t="s">
        <v>128</v>
      </c>
      <c r="F20" s="18">
        <f t="shared" si="0"/>
        <v>2.6698397179991552E-3</v>
      </c>
      <c r="G20">
        <v>40</v>
      </c>
      <c r="H20">
        <v>0.149610176178509</v>
      </c>
      <c r="I20">
        <f t="shared" si="3"/>
        <v>0.15017848413745249</v>
      </c>
      <c r="J20">
        <v>1600000</v>
      </c>
      <c r="K20">
        <v>1000</v>
      </c>
      <c r="L20">
        <v>18000</v>
      </c>
      <c r="M20">
        <v>5000</v>
      </c>
      <c r="N20" s="19">
        <f t="shared" si="1"/>
        <v>4.405235534698606E-5</v>
      </c>
      <c r="O20">
        <v>0.1</v>
      </c>
      <c r="P20">
        <v>0.03</v>
      </c>
      <c r="Q20" s="2">
        <f t="shared" si="4"/>
        <v>1.4871433000000001E-3</v>
      </c>
      <c r="R20">
        <f t="shared" si="5"/>
        <v>1.9000000000000001E-5</v>
      </c>
      <c r="S20">
        <v>78.270700000000005</v>
      </c>
      <c r="T20" s="19">
        <f t="shared" si="2"/>
        <v>4.2010353733461419E-3</v>
      </c>
    </row>
    <row r="21" spans="1:20" x14ac:dyDescent="0.35">
      <c r="A21" t="s">
        <v>257</v>
      </c>
      <c r="B21" s="1">
        <v>-9.6966450000000002</v>
      </c>
      <c r="C21" s="1">
        <v>9.9455869999999997</v>
      </c>
      <c r="D21" t="s">
        <v>129</v>
      </c>
      <c r="E21" t="s">
        <v>128</v>
      </c>
      <c r="F21" s="18">
        <f t="shared" si="0"/>
        <v>2.4940557031396765E-3</v>
      </c>
      <c r="G21">
        <v>40</v>
      </c>
      <c r="H21">
        <v>0.139535695231462</v>
      </c>
      <c r="I21">
        <f t="shared" si="3"/>
        <v>0.14029063330160679</v>
      </c>
      <c r="J21">
        <v>1600000</v>
      </c>
      <c r="K21">
        <v>1000</v>
      </c>
      <c r="L21">
        <v>18000</v>
      </c>
      <c r="M21">
        <v>5000</v>
      </c>
      <c r="N21" s="19">
        <f t="shared" si="1"/>
        <v>4.115191910180466E-5</v>
      </c>
      <c r="O21">
        <v>0.1</v>
      </c>
      <c r="P21">
        <v>0.03</v>
      </c>
      <c r="Q21" s="2">
        <f t="shared" si="4"/>
        <v>1.3920806E-3</v>
      </c>
      <c r="R21">
        <f t="shared" si="5"/>
        <v>1.9000000000000001E-5</v>
      </c>
      <c r="S21">
        <v>73.267399999999995</v>
      </c>
      <c r="T21" s="19">
        <f t="shared" si="2"/>
        <v>3.9272882222414814E-3</v>
      </c>
    </row>
    <row r="22" spans="1:20" x14ac:dyDescent="0.35">
      <c r="A22" t="s">
        <v>258</v>
      </c>
      <c r="B22" s="1">
        <v>-15.310138999999999</v>
      </c>
      <c r="C22" s="1">
        <v>13.443182</v>
      </c>
      <c r="D22" t="s">
        <v>129</v>
      </c>
      <c r="E22" t="s">
        <v>128</v>
      </c>
      <c r="F22" s="18">
        <f t="shared" si="0"/>
        <v>1.8031122644018478E-3</v>
      </c>
      <c r="G22">
        <v>40</v>
      </c>
      <c r="H22">
        <v>9.9110373910918897E-2</v>
      </c>
      <c r="I22">
        <f t="shared" si="3"/>
        <v>0.10142506487260394</v>
      </c>
      <c r="J22">
        <v>1600000</v>
      </c>
      <c r="K22">
        <v>1000</v>
      </c>
      <c r="L22">
        <v>18000</v>
      </c>
      <c r="M22">
        <v>5000</v>
      </c>
      <c r="N22" s="19">
        <f t="shared" si="1"/>
        <v>2.9751352362630492E-5</v>
      </c>
      <c r="O22">
        <v>0.1</v>
      </c>
      <c r="P22">
        <v>0.03</v>
      </c>
      <c r="Q22" s="2">
        <f t="shared" si="4"/>
        <v>1.3394658E-3</v>
      </c>
      <c r="R22">
        <f t="shared" si="5"/>
        <v>1.9000000000000001E-5</v>
      </c>
      <c r="S22">
        <v>70.498199999999997</v>
      </c>
      <c r="T22" s="19">
        <f t="shared" si="2"/>
        <v>3.1723294167644782E-3</v>
      </c>
    </row>
    <row r="23" spans="1:20" x14ac:dyDescent="0.35">
      <c r="A23" t="s">
        <v>259</v>
      </c>
      <c r="B23" s="1">
        <v>-15.180413</v>
      </c>
      <c r="C23" s="1">
        <v>11.803749</v>
      </c>
      <c r="D23" t="s">
        <v>129</v>
      </c>
      <c r="E23" t="s">
        <v>128</v>
      </c>
      <c r="F23" s="18">
        <f t="shared" si="0"/>
        <v>2.1066164887753973E-3</v>
      </c>
      <c r="G23">
        <v>40</v>
      </c>
      <c r="H23">
        <v>0.11708373251469199</v>
      </c>
      <c r="I23">
        <f t="shared" si="3"/>
        <v>0.1184971774936161</v>
      </c>
      <c r="J23">
        <v>1600000</v>
      </c>
      <c r="K23">
        <v>1000</v>
      </c>
      <c r="L23">
        <v>18000</v>
      </c>
      <c r="M23">
        <v>5000</v>
      </c>
      <c r="N23" s="19">
        <f t="shared" si="1"/>
        <v>3.4759172064794057E-5</v>
      </c>
      <c r="O23">
        <v>0.1</v>
      </c>
      <c r="P23">
        <v>0.03</v>
      </c>
      <c r="Q23" s="2">
        <f t="shared" si="4"/>
        <v>1.3851760000000001E-3</v>
      </c>
      <c r="R23">
        <f t="shared" si="5"/>
        <v>1.9000000000000001E-5</v>
      </c>
      <c r="S23">
        <v>72.903999999999996</v>
      </c>
      <c r="T23" s="19">
        <f t="shared" si="2"/>
        <v>3.5265516608401913E-3</v>
      </c>
    </row>
    <row r="24" spans="1:20" x14ac:dyDescent="0.35">
      <c r="A24" t="s">
        <v>260</v>
      </c>
      <c r="B24" s="1">
        <v>10.267894999999999</v>
      </c>
      <c r="C24" s="1">
        <v>1.650801</v>
      </c>
      <c r="D24" t="s">
        <v>129</v>
      </c>
      <c r="E24" t="s">
        <v>128</v>
      </c>
      <c r="F24" s="18">
        <f t="shared" si="0"/>
        <v>4.0118803793644528E-3</v>
      </c>
      <c r="G24">
        <v>40</v>
      </c>
      <c r="H24">
        <v>0.22560227982465</v>
      </c>
      <c r="I24">
        <f t="shared" si="3"/>
        <v>0.22566827133925049</v>
      </c>
      <c r="J24">
        <v>1600000</v>
      </c>
      <c r="K24">
        <v>1000</v>
      </c>
      <c r="L24">
        <v>18000</v>
      </c>
      <c r="M24">
        <v>5000</v>
      </c>
      <c r="N24" s="19">
        <f t="shared" si="1"/>
        <v>6.6196026259513472E-5</v>
      </c>
      <c r="O24">
        <v>0.1</v>
      </c>
      <c r="P24">
        <v>0.03</v>
      </c>
      <c r="Q24" s="2">
        <f t="shared" si="4"/>
        <v>1.5369290000000002E-3</v>
      </c>
      <c r="R24">
        <f t="shared" si="5"/>
        <v>1.9000000000000001E-5</v>
      </c>
      <c r="S24">
        <v>80.891000000000005</v>
      </c>
      <c r="T24" s="19">
        <f t="shared" si="2"/>
        <v>5.6150054056239669E-3</v>
      </c>
    </row>
    <row r="25" spans="1:20" x14ac:dyDescent="0.35">
      <c r="A25" t="s">
        <v>261</v>
      </c>
      <c r="B25" s="1">
        <v>37.906193000000002</v>
      </c>
      <c r="C25" s="1">
        <v>-2.3559E-2</v>
      </c>
      <c r="D25" t="s">
        <v>129</v>
      </c>
      <c r="E25" t="s">
        <v>128</v>
      </c>
      <c r="F25" s="18">
        <f t="shared" si="0"/>
        <v>2.0817975561643145E-3</v>
      </c>
      <c r="G25">
        <v>40</v>
      </c>
      <c r="H25">
        <v>0.115629614609485</v>
      </c>
      <c r="I25">
        <f t="shared" si="3"/>
        <v>0.11710111253424269</v>
      </c>
      <c r="J25">
        <v>1600000</v>
      </c>
      <c r="K25">
        <v>1000</v>
      </c>
      <c r="L25">
        <v>18000</v>
      </c>
      <c r="M25">
        <v>5000</v>
      </c>
      <c r="N25" s="19">
        <f t="shared" si="1"/>
        <v>3.4349659676711192E-5</v>
      </c>
      <c r="O25">
        <v>0.1</v>
      </c>
      <c r="P25">
        <v>0.03</v>
      </c>
      <c r="Q25" s="2">
        <f t="shared" si="4"/>
        <v>1.5755389000000001E-3</v>
      </c>
      <c r="R25">
        <f t="shared" si="5"/>
        <v>1.9000000000000001E-5</v>
      </c>
      <c r="S25">
        <v>82.923100000000005</v>
      </c>
      <c r="T25" s="19">
        <f t="shared" si="2"/>
        <v>3.6916861158410256E-3</v>
      </c>
    </row>
    <row r="26" spans="1:20" x14ac:dyDescent="0.35">
      <c r="A26" t="s">
        <v>262</v>
      </c>
      <c r="B26" s="1">
        <v>-9.4294989999999999</v>
      </c>
      <c r="C26" s="1">
        <v>6.4280549999999996</v>
      </c>
      <c r="D26" t="s">
        <v>129</v>
      </c>
      <c r="E26" t="s">
        <v>128</v>
      </c>
      <c r="F26" s="18">
        <f t="shared" si="0"/>
        <v>2.2603593676407381E-3</v>
      </c>
      <c r="G26">
        <v>40</v>
      </c>
      <c r="H26">
        <v>0.12604343594626699</v>
      </c>
      <c r="I26">
        <f t="shared" si="3"/>
        <v>0.12714521442979151</v>
      </c>
      <c r="J26">
        <v>1600000</v>
      </c>
      <c r="K26">
        <v>1000</v>
      </c>
      <c r="L26">
        <v>18000</v>
      </c>
      <c r="M26">
        <v>5000</v>
      </c>
      <c r="N26" s="19">
        <f t="shared" si="1"/>
        <v>3.7295929566072182E-5</v>
      </c>
      <c r="O26">
        <v>0.1</v>
      </c>
      <c r="P26">
        <v>0.03</v>
      </c>
      <c r="Q26" s="2">
        <f t="shared" si="4"/>
        <v>1.4303865000000002E-3</v>
      </c>
      <c r="R26">
        <f t="shared" si="5"/>
        <v>1.9000000000000001E-5</v>
      </c>
      <c r="S26">
        <v>75.283500000000004</v>
      </c>
      <c r="T26" s="19">
        <f t="shared" si="2"/>
        <v>3.7280417972068106E-3</v>
      </c>
    </row>
    <row r="27" spans="1:20" x14ac:dyDescent="0.35">
      <c r="A27" t="s">
        <v>263</v>
      </c>
      <c r="B27" s="1">
        <v>16.687793657894499</v>
      </c>
      <c r="C27" s="1">
        <v>30.6647391297629</v>
      </c>
      <c r="D27" t="s">
        <v>129</v>
      </c>
      <c r="E27" t="s">
        <v>128</v>
      </c>
      <c r="F27" s="18">
        <f t="shared" si="0"/>
        <v>1.3943978403742087E-3</v>
      </c>
      <c r="G27">
        <v>40</v>
      </c>
      <c r="H27">
        <v>7.3907657929886003E-2</v>
      </c>
      <c r="I27">
        <f t="shared" si="3"/>
        <v>7.8434878521049245E-2</v>
      </c>
      <c r="J27">
        <v>1600000</v>
      </c>
      <c r="K27">
        <v>1000</v>
      </c>
      <c r="L27">
        <v>18000</v>
      </c>
      <c r="M27">
        <v>5000</v>
      </c>
      <c r="N27" s="19">
        <f t="shared" si="1"/>
        <v>2.3007564366174442E-5</v>
      </c>
      <c r="O27">
        <v>0.1</v>
      </c>
      <c r="P27">
        <v>0.03</v>
      </c>
      <c r="Q27" s="2">
        <f t="shared" si="4"/>
        <v>6.5305280000000005E-4</v>
      </c>
      <c r="R27">
        <f t="shared" si="5"/>
        <v>1.9000000000000001E-5</v>
      </c>
      <c r="S27">
        <v>34.371200000000002</v>
      </c>
      <c r="T27" s="19">
        <f t="shared" si="2"/>
        <v>2.0704582047403829E-3</v>
      </c>
    </row>
    <row r="28" spans="1:20" x14ac:dyDescent="0.35">
      <c r="A28" t="s">
        <v>264</v>
      </c>
      <c r="B28" s="1">
        <v>28.233608</v>
      </c>
      <c r="C28" s="1">
        <v>-29.609988000000001</v>
      </c>
      <c r="D28" t="s">
        <v>129</v>
      </c>
      <c r="E28" t="s">
        <v>128</v>
      </c>
      <c r="F28" s="18">
        <f t="shared" si="0"/>
        <v>4.0118803793644528E-3</v>
      </c>
      <c r="G28">
        <v>40</v>
      </c>
      <c r="H28">
        <v>0.22560227982465</v>
      </c>
      <c r="I28">
        <f t="shared" si="3"/>
        <v>0.22566827133925049</v>
      </c>
      <c r="J28">
        <v>1600000</v>
      </c>
      <c r="K28">
        <v>1000</v>
      </c>
      <c r="L28">
        <v>18000</v>
      </c>
      <c r="M28">
        <v>5000</v>
      </c>
      <c r="N28" s="19">
        <f t="shared" si="1"/>
        <v>6.6196026259513472E-5</v>
      </c>
      <c r="O28">
        <v>0.1</v>
      </c>
      <c r="P28">
        <v>0.03</v>
      </c>
      <c r="Q28" s="2">
        <f t="shared" si="4"/>
        <v>1.0386426E-3</v>
      </c>
      <c r="R28">
        <f t="shared" si="5"/>
        <v>1.9000000000000001E-5</v>
      </c>
      <c r="S28">
        <v>54.665399999999998</v>
      </c>
      <c r="T28" s="19">
        <f t="shared" si="2"/>
        <v>5.1167190056239662E-3</v>
      </c>
    </row>
    <row r="29" spans="1:20" x14ac:dyDescent="0.35">
      <c r="A29" t="s">
        <v>265</v>
      </c>
      <c r="B29" s="1">
        <v>-6.6901118411305598</v>
      </c>
      <c r="C29" s="1">
        <v>33.298648618964499</v>
      </c>
      <c r="D29" t="s">
        <v>129</v>
      </c>
      <c r="E29" t="s">
        <v>128</v>
      </c>
      <c r="F29" s="18">
        <f t="shared" si="0"/>
        <v>1.4854775096891785E-3</v>
      </c>
      <c r="G29">
        <v>40</v>
      </c>
      <c r="H29">
        <v>7.9663627201992895E-2</v>
      </c>
      <c r="I29">
        <f t="shared" si="3"/>
        <v>8.3558109920016291E-2</v>
      </c>
      <c r="J29">
        <v>1600000</v>
      </c>
      <c r="K29">
        <v>1000</v>
      </c>
      <c r="L29">
        <v>18000</v>
      </c>
      <c r="M29">
        <v>5000</v>
      </c>
      <c r="N29" s="19">
        <f t="shared" si="1"/>
        <v>2.4510378909871447E-5</v>
      </c>
      <c r="O29">
        <v>0.1</v>
      </c>
      <c r="P29">
        <v>0.03</v>
      </c>
      <c r="Q29" s="2">
        <f t="shared" si="4"/>
        <v>7.0858410000000009E-4</v>
      </c>
      <c r="R29">
        <f t="shared" si="5"/>
        <v>1.9000000000000001E-5</v>
      </c>
      <c r="S29">
        <v>37.293900000000001</v>
      </c>
      <c r="T29" s="19">
        <f t="shared" si="2"/>
        <v>2.2185719885990502E-3</v>
      </c>
    </row>
    <row r="30" spans="1:20" x14ac:dyDescent="0.35">
      <c r="A30" t="s">
        <v>266</v>
      </c>
      <c r="B30" s="1">
        <v>46.869107</v>
      </c>
      <c r="C30" s="1">
        <v>-18.766946999999998</v>
      </c>
      <c r="D30" t="s">
        <v>129</v>
      </c>
      <c r="E30" t="s">
        <v>128</v>
      </c>
      <c r="F30" s="18">
        <f t="shared" si="0"/>
        <v>2.1609740353757622E-3</v>
      </c>
      <c r="G30">
        <v>40</v>
      </c>
      <c r="H30">
        <v>0.12026056335218401</v>
      </c>
      <c r="I30">
        <f t="shared" si="3"/>
        <v>0.12155478948988663</v>
      </c>
      <c r="J30">
        <v>1600000</v>
      </c>
      <c r="K30">
        <v>1000</v>
      </c>
      <c r="L30">
        <v>18000</v>
      </c>
      <c r="M30">
        <v>5000</v>
      </c>
      <c r="N30" s="19">
        <f t="shared" si="1"/>
        <v>3.565607158370008E-5</v>
      </c>
      <c r="O30">
        <v>0.1</v>
      </c>
      <c r="P30">
        <v>0.03</v>
      </c>
      <c r="Q30" s="2">
        <f t="shared" si="4"/>
        <v>1.1762311000000001E-3</v>
      </c>
      <c r="R30">
        <f t="shared" si="5"/>
        <v>1.9000000000000001E-5</v>
      </c>
      <c r="S30">
        <v>61.9069</v>
      </c>
      <c r="T30" s="19">
        <f t="shared" si="2"/>
        <v>3.3728612069594622E-3</v>
      </c>
    </row>
    <row r="31" spans="1:20" x14ac:dyDescent="0.35">
      <c r="A31" t="s">
        <v>267</v>
      </c>
      <c r="B31" s="1">
        <v>-3.9961660000000001</v>
      </c>
      <c r="C31" s="1">
        <v>17.570692000000001</v>
      </c>
      <c r="D31" t="s">
        <v>129</v>
      </c>
      <c r="E31" t="s">
        <v>128</v>
      </c>
      <c r="F31" s="18">
        <f t="shared" si="0"/>
        <v>2.4940557031396765E-3</v>
      </c>
      <c r="G31">
        <v>40</v>
      </c>
      <c r="H31">
        <v>0.139535695231462</v>
      </c>
      <c r="I31">
        <f t="shared" si="3"/>
        <v>0.14029063330160679</v>
      </c>
      <c r="J31">
        <v>1600000</v>
      </c>
      <c r="K31">
        <v>1000</v>
      </c>
      <c r="L31">
        <v>18000</v>
      </c>
      <c r="M31">
        <v>5000</v>
      </c>
      <c r="N31" s="19">
        <f t="shared" si="1"/>
        <v>4.115191910180466E-5</v>
      </c>
      <c r="O31">
        <v>0.1</v>
      </c>
      <c r="P31">
        <v>0.03</v>
      </c>
      <c r="Q31" s="2">
        <f t="shared" si="4"/>
        <v>1.3796755000000003E-3</v>
      </c>
      <c r="R31">
        <f t="shared" si="5"/>
        <v>1.9000000000000001E-5</v>
      </c>
      <c r="S31">
        <v>72.614500000000007</v>
      </c>
      <c r="T31" s="19">
        <f t="shared" si="2"/>
        <v>3.9148831222414818E-3</v>
      </c>
    </row>
    <row r="32" spans="1:20" x14ac:dyDescent="0.35">
      <c r="A32" t="s">
        <v>268</v>
      </c>
      <c r="B32" s="1">
        <v>35.529561999999999</v>
      </c>
      <c r="C32" s="1">
        <v>-18.665694999999999</v>
      </c>
      <c r="D32" t="s">
        <v>129</v>
      </c>
      <c r="E32" t="s">
        <v>128</v>
      </c>
      <c r="F32" s="18">
        <f t="shared" si="0"/>
        <v>2.4439721454273208E-3</v>
      </c>
      <c r="G32">
        <v>40</v>
      </c>
      <c r="H32">
        <v>0.13665482751199501</v>
      </c>
      <c r="I32">
        <f t="shared" si="3"/>
        <v>0.13747343318028679</v>
      </c>
      <c r="J32">
        <v>1600000</v>
      </c>
      <c r="K32">
        <v>1000</v>
      </c>
      <c r="L32">
        <v>18000</v>
      </c>
      <c r="M32">
        <v>5000</v>
      </c>
      <c r="N32" s="19">
        <f t="shared" si="1"/>
        <v>4.0325540399550796E-5</v>
      </c>
      <c r="O32">
        <v>0.1</v>
      </c>
      <c r="P32">
        <v>0.03</v>
      </c>
      <c r="Q32" s="2">
        <f t="shared" si="4"/>
        <v>1.0493985E-3</v>
      </c>
      <c r="R32">
        <f t="shared" si="5"/>
        <v>1.9000000000000001E-5</v>
      </c>
      <c r="S32">
        <v>55.231499999999997</v>
      </c>
      <c r="T32" s="19">
        <f t="shared" si="2"/>
        <v>3.5336961858268719E-3</v>
      </c>
    </row>
    <row r="33" spans="1:20" x14ac:dyDescent="0.35">
      <c r="A33" t="s">
        <v>269</v>
      </c>
      <c r="B33" s="1">
        <v>-10.940835</v>
      </c>
      <c r="C33" s="1">
        <v>21.00789</v>
      </c>
      <c r="D33" t="s">
        <v>129</v>
      </c>
      <c r="E33" t="s">
        <v>128</v>
      </c>
      <c r="F33" s="18">
        <f t="shared" si="0"/>
        <v>4.0118803793644528E-3</v>
      </c>
      <c r="G33">
        <v>40</v>
      </c>
      <c r="H33">
        <v>0.22560227982465</v>
      </c>
      <c r="I33">
        <f t="shared" si="3"/>
        <v>0.22566827133925049</v>
      </c>
      <c r="J33">
        <v>1600000</v>
      </c>
      <c r="K33">
        <v>1000</v>
      </c>
      <c r="L33">
        <v>18000</v>
      </c>
      <c r="M33">
        <v>5000</v>
      </c>
      <c r="N33" s="19">
        <f t="shared" si="1"/>
        <v>6.6196026259513472E-5</v>
      </c>
      <c r="O33">
        <v>0.1</v>
      </c>
      <c r="P33">
        <v>0.03</v>
      </c>
      <c r="Q33" s="2">
        <f t="shared" si="4"/>
        <v>1.3446527999999998E-3</v>
      </c>
      <c r="R33">
        <f t="shared" si="5"/>
        <v>1.9000000000000001E-5</v>
      </c>
      <c r="S33">
        <v>70.771199999999993</v>
      </c>
      <c r="T33" s="19">
        <f t="shared" si="2"/>
        <v>5.422729205623966E-3</v>
      </c>
    </row>
    <row r="34" spans="1:20" x14ac:dyDescent="0.35">
      <c r="A34" t="s">
        <v>292</v>
      </c>
      <c r="B34" s="1">
        <v>57.552152</v>
      </c>
      <c r="C34" s="1">
        <v>-20.348403999999999</v>
      </c>
      <c r="D34" t="s">
        <v>129</v>
      </c>
      <c r="E34" t="s">
        <v>128</v>
      </c>
      <c r="F34" s="18">
        <f t="shared" ref="F34:F65" si="6">(J34*I34)/(L34*M34)</f>
        <v>4.0118803793644528E-3</v>
      </c>
      <c r="G34">
        <v>40</v>
      </c>
      <c r="H34">
        <f>MAX($H$2:$H$11,$H$13:$H$16,$H$18:$H$33,$H$35:$H$52)</f>
        <v>0.22560227982465</v>
      </c>
      <c r="I34">
        <f t="shared" si="3"/>
        <v>0.22566827133925049</v>
      </c>
      <c r="J34">
        <v>1600000</v>
      </c>
      <c r="K34">
        <v>1000</v>
      </c>
      <c r="L34">
        <v>18000</v>
      </c>
      <c r="M34">
        <v>5000</v>
      </c>
      <c r="N34" s="19">
        <f t="shared" ref="N34:N65" si="7">P34*F34*0.5*(1+O34)</f>
        <v>6.6196026259513472E-5</v>
      </c>
      <c r="O34">
        <v>0.1</v>
      </c>
      <c r="P34">
        <v>0.03</v>
      </c>
      <c r="Q34" s="2">
        <f t="shared" si="4"/>
        <v>1.6339068999999999E-3</v>
      </c>
      <c r="R34">
        <f t="shared" si="5"/>
        <v>1.9000000000000001E-5</v>
      </c>
      <c r="S34">
        <v>85.995099999999994</v>
      </c>
      <c r="T34" s="19">
        <f t="shared" ref="T34:T65" si="8">F34+Q34+N34</f>
        <v>5.7119833056239666E-3</v>
      </c>
    </row>
    <row r="35" spans="1:20" x14ac:dyDescent="0.35">
      <c r="A35" t="s">
        <v>270</v>
      </c>
      <c r="B35" s="1">
        <v>34.301524999999998</v>
      </c>
      <c r="C35" s="1">
        <v>-13.254308</v>
      </c>
      <c r="D35" t="s">
        <v>129</v>
      </c>
      <c r="E35" t="s">
        <v>128</v>
      </c>
      <c r="F35" s="18">
        <f t="shared" si="6"/>
        <v>2.9273587776590267E-3</v>
      </c>
      <c r="G35">
        <v>40</v>
      </c>
      <c r="H35">
        <v>0.16428881185347599</v>
      </c>
      <c r="I35">
        <f t="shared" si="3"/>
        <v>0.16466393124332027</v>
      </c>
      <c r="J35">
        <v>1600000</v>
      </c>
      <c r="K35">
        <v>1000</v>
      </c>
      <c r="L35">
        <v>18000</v>
      </c>
      <c r="M35">
        <v>5000</v>
      </c>
      <c r="N35" s="19">
        <f t="shared" si="7"/>
        <v>4.8301419831373941E-5</v>
      </c>
      <c r="O35">
        <v>0.1</v>
      </c>
      <c r="P35">
        <v>0.03</v>
      </c>
      <c r="Q35" s="2">
        <f t="shared" si="4"/>
        <v>1.1523214999999999E-3</v>
      </c>
      <c r="R35">
        <f t="shared" si="5"/>
        <v>1.9000000000000001E-5</v>
      </c>
      <c r="S35">
        <v>60.648499999999999</v>
      </c>
      <c r="T35" s="19">
        <f t="shared" si="8"/>
        <v>4.1279816974904007E-3</v>
      </c>
    </row>
    <row r="36" spans="1:20" x14ac:dyDescent="0.35">
      <c r="A36" t="s">
        <v>271</v>
      </c>
      <c r="B36" s="1">
        <v>18.490410000000001</v>
      </c>
      <c r="C36" s="1">
        <v>-22.957640000000001</v>
      </c>
      <c r="D36" t="s">
        <v>129</v>
      </c>
      <c r="E36" t="s">
        <v>128</v>
      </c>
      <c r="F36" s="18">
        <f t="shared" si="6"/>
        <v>1.7710645323384918E-3</v>
      </c>
      <c r="G36">
        <v>40</v>
      </c>
      <c r="H36">
        <v>9.7183526031469195E-2</v>
      </c>
      <c r="I36">
        <f t="shared" si="3"/>
        <v>9.9622379944040163E-2</v>
      </c>
      <c r="J36">
        <v>1600000</v>
      </c>
      <c r="K36">
        <v>1000</v>
      </c>
      <c r="L36">
        <v>18000</v>
      </c>
      <c r="M36">
        <v>5000</v>
      </c>
      <c r="N36" s="19">
        <f t="shared" si="7"/>
        <v>2.9222564783585116E-5</v>
      </c>
      <c r="O36">
        <v>0.1</v>
      </c>
      <c r="P36">
        <v>0.03</v>
      </c>
      <c r="Q36" s="2">
        <f t="shared" si="4"/>
        <v>1.0683453000000002E-3</v>
      </c>
      <c r="R36">
        <f t="shared" si="5"/>
        <v>1.9000000000000001E-5</v>
      </c>
      <c r="S36">
        <v>56.228700000000003</v>
      </c>
      <c r="T36" s="19">
        <f t="shared" si="8"/>
        <v>2.8686323971220768E-3</v>
      </c>
    </row>
    <row r="37" spans="1:20" x14ac:dyDescent="0.35">
      <c r="A37" t="s">
        <v>272</v>
      </c>
      <c r="B37" s="1">
        <v>8.0816660000000002</v>
      </c>
      <c r="C37" s="1">
        <v>17.607789</v>
      </c>
      <c r="D37" t="s">
        <v>129</v>
      </c>
      <c r="E37" t="s">
        <v>128</v>
      </c>
      <c r="F37" s="18">
        <f t="shared" si="6"/>
        <v>2.6503445401122299E-3</v>
      </c>
      <c r="G37">
        <v>40</v>
      </c>
      <c r="H37">
        <v>0.14849539866303699</v>
      </c>
      <c r="I37">
        <f t="shared" si="3"/>
        <v>0.14908188038131293</v>
      </c>
      <c r="J37">
        <v>1600000</v>
      </c>
      <c r="K37">
        <v>1000</v>
      </c>
      <c r="L37">
        <v>18000</v>
      </c>
      <c r="M37">
        <v>5000</v>
      </c>
      <c r="N37" s="19">
        <f t="shared" si="7"/>
        <v>4.3730684911851792E-5</v>
      </c>
      <c r="O37">
        <v>0.1</v>
      </c>
      <c r="P37">
        <v>0.03</v>
      </c>
      <c r="Q37" s="2">
        <f t="shared" si="4"/>
        <v>1.0907614999999999E-3</v>
      </c>
      <c r="R37">
        <f t="shared" si="5"/>
        <v>1.9000000000000001E-5</v>
      </c>
      <c r="S37">
        <v>57.408499999999997</v>
      </c>
      <c r="T37" s="19">
        <f t="shared" si="8"/>
        <v>3.7848367250240813E-3</v>
      </c>
    </row>
    <row r="38" spans="1:20" x14ac:dyDescent="0.35">
      <c r="A38" t="s">
        <v>273</v>
      </c>
      <c r="B38" s="1">
        <v>8.6752769999999995</v>
      </c>
      <c r="C38" s="1">
        <v>9.0819989999999997</v>
      </c>
      <c r="D38" t="s">
        <v>129</v>
      </c>
      <c r="E38" t="s">
        <v>128</v>
      </c>
      <c r="F38" s="18">
        <f t="shared" si="6"/>
        <v>2.2332190020168327E-3</v>
      </c>
      <c r="G38">
        <v>40</v>
      </c>
      <c r="H38">
        <v>0.12446728932260299</v>
      </c>
      <c r="I38">
        <f t="shared" si="3"/>
        <v>0.12561856886344683</v>
      </c>
      <c r="J38">
        <v>1600000</v>
      </c>
      <c r="K38">
        <v>1000</v>
      </c>
      <c r="L38">
        <v>18000</v>
      </c>
      <c r="M38">
        <v>5000</v>
      </c>
      <c r="N38" s="19">
        <f t="shared" si="7"/>
        <v>3.684811353327774E-5</v>
      </c>
      <c r="O38">
        <v>0.1</v>
      </c>
      <c r="P38">
        <v>0.03</v>
      </c>
      <c r="Q38" s="2">
        <f t="shared" si="4"/>
        <v>1.6040332E-3</v>
      </c>
      <c r="R38">
        <f t="shared" si="5"/>
        <v>1.9000000000000001E-5</v>
      </c>
      <c r="S38">
        <v>84.422799999999995</v>
      </c>
      <c r="T38" s="19">
        <f t="shared" si="8"/>
        <v>3.8741003155501105E-3</v>
      </c>
    </row>
    <row r="39" spans="1:20" x14ac:dyDescent="0.35">
      <c r="A39" t="s">
        <v>274</v>
      </c>
      <c r="B39" s="1">
        <v>29.873888000000001</v>
      </c>
      <c r="C39" s="1">
        <v>-1.9402779999999999</v>
      </c>
      <c r="D39" t="s">
        <v>129</v>
      </c>
      <c r="E39" t="s">
        <v>128</v>
      </c>
      <c r="F39" s="18">
        <f t="shared" si="6"/>
        <v>1.9318923935818168E-3</v>
      </c>
      <c r="G39">
        <v>40</v>
      </c>
      <c r="H39">
        <v>0.106791939896367</v>
      </c>
      <c r="I39">
        <f t="shared" si="3"/>
        <v>0.10866894713897721</v>
      </c>
      <c r="J39">
        <v>1600000</v>
      </c>
      <c r="K39">
        <v>1000</v>
      </c>
      <c r="L39">
        <v>18000</v>
      </c>
      <c r="M39">
        <v>5000</v>
      </c>
      <c r="N39" s="19">
        <f t="shared" si="7"/>
        <v>3.1876224494099977E-5</v>
      </c>
      <c r="O39">
        <v>0.1</v>
      </c>
      <c r="P39">
        <v>0.03</v>
      </c>
      <c r="Q39" s="2">
        <f t="shared" si="4"/>
        <v>1.5289699000000001E-3</v>
      </c>
      <c r="R39">
        <f t="shared" si="5"/>
        <v>1.9000000000000001E-5</v>
      </c>
      <c r="S39">
        <v>80.472099999999998</v>
      </c>
      <c r="T39" s="19">
        <f t="shared" si="8"/>
        <v>3.4927385180759172E-3</v>
      </c>
    </row>
    <row r="40" spans="1:20" x14ac:dyDescent="0.35">
      <c r="A40" t="s">
        <v>275</v>
      </c>
      <c r="B40" s="1">
        <v>30.217635999999999</v>
      </c>
      <c r="C40" s="1">
        <v>12.862807</v>
      </c>
      <c r="D40" t="s">
        <v>129</v>
      </c>
      <c r="E40" t="s">
        <v>128</v>
      </c>
      <c r="F40" s="18">
        <f t="shared" si="6"/>
        <v>3.8770310196282504E-3</v>
      </c>
      <c r="G40">
        <v>40</v>
      </c>
      <c r="H40">
        <v>0.21800120242219001</v>
      </c>
      <c r="I40">
        <f t="shared" si="3"/>
        <v>0.21808299485408908</v>
      </c>
      <c r="J40">
        <v>1600000</v>
      </c>
      <c r="K40">
        <v>1000</v>
      </c>
      <c r="L40">
        <v>18000</v>
      </c>
      <c r="M40">
        <v>5000</v>
      </c>
      <c r="N40" s="19">
        <f t="shared" si="7"/>
        <v>6.3971011823866133E-5</v>
      </c>
      <c r="O40">
        <v>0.1</v>
      </c>
      <c r="P40">
        <v>0.03</v>
      </c>
      <c r="Q40" s="2">
        <f t="shared" si="4"/>
        <v>7.575015E-4</v>
      </c>
      <c r="R40">
        <f t="shared" si="5"/>
        <v>1.9000000000000001E-5</v>
      </c>
      <c r="S40">
        <v>39.868499999999997</v>
      </c>
      <c r="T40" s="19">
        <f t="shared" si="8"/>
        <v>4.6985035314521164E-3</v>
      </c>
    </row>
    <row r="41" spans="1:20" x14ac:dyDescent="0.35">
      <c r="A41" t="s">
        <v>276</v>
      </c>
      <c r="B41" s="1">
        <v>-14.452362000000001</v>
      </c>
      <c r="C41" s="1">
        <v>14.497401</v>
      </c>
      <c r="D41" t="s">
        <v>129</v>
      </c>
      <c r="E41" t="s">
        <v>128</v>
      </c>
      <c r="F41" s="18">
        <f t="shared" si="6"/>
        <v>1.651770265881309E-3</v>
      </c>
      <c r="G41">
        <v>40</v>
      </c>
      <c r="H41">
        <v>8.9948371619600898E-2</v>
      </c>
      <c r="I41">
        <f t="shared" si="3"/>
        <v>9.2912077455823638E-2</v>
      </c>
      <c r="J41">
        <v>1600000</v>
      </c>
      <c r="K41">
        <v>1000</v>
      </c>
      <c r="L41">
        <v>18000</v>
      </c>
      <c r="M41">
        <v>5000</v>
      </c>
      <c r="N41" s="19">
        <f t="shared" si="7"/>
        <v>2.72542093870416E-5</v>
      </c>
      <c r="O41">
        <v>0.1</v>
      </c>
      <c r="P41">
        <v>0.03</v>
      </c>
      <c r="Q41" s="2">
        <f t="shared" si="4"/>
        <v>1.34311E-3</v>
      </c>
      <c r="R41">
        <f t="shared" si="5"/>
        <v>1.9000000000000001E-5</v>
      </c>
      <c r="S41">
        <v>70.69</v>
      </c>
      <c r="T41" s="19">
        <f t="shared" si="8"/>
        <v>3.0221344752683508E-3</v>
      </c>
    </row>
    <row r="42" spans="1:20" x14ac:dyDescent="0.35">
      <c r="A42" t="s">
        <v>277</v>
      </c>
      <c r="B42" s="1">
        <v>-11.779889000000001</v>
      </c>
      <c r="C42" s="1">
        <v>8.4605549999999994</v>
      </c>
      <c r="D42" t="s">
        <v>129</v>
      </c>
      <c r="E42" t="s">
        <v>128</v>
      </c>
      <c r="F42" s="18">
        <f t="shared" si="6"/>
        <v>2.5122010158427337E-3</v>
      </c>
      <c r="G42">
        <v>40</v>
      </c>
      <c r="H42">
        <v>0.14057818821943999</v>
      </c>
      <c r="I42">
        <f t="shared" si="3"/>
        <v>0.14131130714115378</v>
      </c>
      <c r="J42">
        <v>1600000</v>
      </c>
      <c r="K42">
        <v>1000</v>
      </c>
      <c r="L42">
        <v>18000</v>
      </c>
      <c r="M42">
        <v>5000</v>
      </c>
      <c r="N42" s="19">
        <f t="shared" si="7"/>
        <v>4.1451316761405104E-5</v>
      </c>
      <c r="O42">
        <v>0.1</v>
      </c>
      <c r="P42">
        <v>0.03</v>
      </c>
      <c r="Q42" s="2">
        <f t="shared" si="4"/>
        <v>1.4047175000000002E-3</v>
      </c>
      <c r="R42">
        <f t="shared" si="5"/>
        <v>1.9000000000000001E-5</v>
      </c>
      <c r="S42">
        <v>73.932500000000005</v>
      </c>
      <c r="T42" s="19">
        <f t="shared" si="8"/>
        <v>3.9583698326041391E-3</v>
      </c>
    </row>
    <row r="43" spans="1:20" x14ac:dyDescent="0.35">
      <c r="A43" t="s">
        <v>278</v>
      </c>
      <c r="B43" s="1">
        <v>46.199615999999999</v>
      </c>
      <c r="C43" s="1">
        <v>5.1521489999999996</v>
      </c>
      <c r="D43" t="s">
        <v>129</v>
      </c>
      <c r="E43" t="s">
        <v>128</v>
      </c>
      <c r="F43" s="18">
        <f t="shared" si="6"/>
        <v>2.9647641239187589E-3</v>
      </c>
      <c r="G43">
        <v>40</v>
      </c>
      <c r="H43">
        <v>0.16641480552618601</v>
      </c>
      <c r="I43">
        <f t="shared" si="3"/>
        <v>0.16676798197043019</v>
      </c>
      <c r="J43">
        <v>1600000</v>
      </c>
      <c r="K43">
        <v>1000</v>
      </c>
      <c r="L43">
        <v>18000</v>
      </c>
      <c r="M43">
        <v>5000</v>
      </c>
      <c r="N43" s="19">
        <f t="shared" si="7"/>
        <v>4.8918608044659519E-5</v>
      </c>
      <c r="O43">
        <v>0.1</v>
      </c>
      <c r="P43">
        <v>0.03</v>
      </c>
      <c r="Q43" s="2">
        <f t="shared" si="4"/>
        <v>1.4560668999999999E-3</v>
      </c>
      <c r="R43">
        <f t="shared" si="5"/>
        <v>1.9000000000000001E-5</v>
      </c>
      <c r="S43">
        <v>76.635099999999994</v>
      </c>
      <c r="T43" s="19">
        <f t="shared" si="8"/>
        <v>4.4697496319634177E-3</v>
      </c>
    </row>
    <row r="44" spans="1:20" x14ac:dyDescent="0.35">
      <c r="A44" t="s">
        <v>279</v>
      </c>
      <c r="B44" s="1">
        <v>31.465865999999998</v>
      </c>
      <c r="C44" s="1">
        <v>-26.522503</v>
      </c>
      <c r="D44" t="s">
        <v>129</v>
      </c>
      <c r="E44" t="s">
        <v>128</v>
      </c>
      <c r="F44" s="18">
        <f t="shared" si="6"/>
        <v>2.1015546051157252E-3</v>
      </c>
      <c r="G44">
        <v>40</v>
      </c>
      <c r="H44">
        <v>0.11678735179516</v>
      </c>
      <c r="I44">
        <f t="shared" si="3"/>
        <v>0.11821244653775953</v>
      </c>
      <c r="J44">
        <v>1600000</v>
      </c>
      <c r="K44">
        <v>1000</v>
      </c>
      <c r="L44">
        <v>18000</v>
      </c>
      <c r="M44">
        <v>5000</v>
      </c>
      <c r="N44" s="19">
        <f t="shared" si="7"/>
        <v>3.4675650984409468E-5</v>
      </c>
      <c r="O44">
        <v>0.1</v>
      </c>
      <c r="P44">
        <v>0.03</v>
      </c>
      <c r="Q44" s="2">
        <f t="shared" si="4"/>
        <v>1.0429233000000002E-3</v>
      </c>
      <c r="R44">
        <f t="shared" si="5"/>
        <v>1.9000000000000001E-5</v>
      </c>
      <c r="S44">
        <v>54.890700000000002</v>
      </c>
      <c r="T44" s="19">
        <f t="shared" si="8"/>
        <v>3.1791535561001348E-3</v>
      </c>
    </row>
    <row r="45" spans="1:20" x14ac:dyDescent="0.35">
      <c r="A45" t="s">
        <v>280</v>
      </c>
      <c r="B45" s="1">
        <v>18.732206999999999</v>
      </c>
      <c r="C45" s="1">
        <v>15.454166000000001</v>
      </c>
      <c r="D45" t="s">
        <v>129</v>
      </c>
      <c r="E45" t="s">
        <v>128</v>
      </c>
      <c r="F45" s="18">
        <f t="shared" si="6"/>
        <v>4.0118803793644528E-3</v>
      </c>
      <c r="G45">
        <v>40</v>
      </c>
      <c r="H45">
        <v>0.22560227982465</v>
      </c>
      <c r="I45">
        <f t="shared" si="3"/>
        <v>0.22566827133925049</v>
      </c>
      <c r="J45">
        <v>1600000</v>
      </c>
      <c r="K45">
        <v>1000</v>
      </c>
      <c r="L45">
        <v>18000</v>
      </c>
      <c r="M45">
        <v>5000</v>
      </c>
      <c r="N45" s="19">
        <f t="shared" si="7"/>
        <v>6.6196026259513472E-5</v>
      </c>
      <c r="O45">
        <v>0.1</v>
      </c>
      <c r="P45">
        <v>0.03</v>
      </c>
      <c r="Q45" s="2">
        <f t="shared" si="4"/>
        <v>1.3764664000000002E-3</v>
      </c>
      <c r="R45">
        <f t="shared" si="5"/>
        <v>1.9000000000000001E-5</v>
      </c>
      <c r="S45">
        <v>72.445599999999999</v>
      </c>
      <c r="T45" s="19">
        <f t="shared" si="8"/>
        <v>5.4545428056239666E-3</v>
      </c>
    </row>
    <row r="46" spans="1:20" x14ac:dyDescent="0.35">
      <c r="A46" t="s">
        <v>281</v>
      </c>
      <c r="B46" s="1">
        <v>0.82478200000000002</v>
      </c>
      <c r="C46" s="1">
        <v>8.6195430000000002</v>
      </c>
      <c r="D46" t="s">
        <v>129</v>
      </c>
      <c r="E46" t="s">
        <v>128</v>
      </c>
      <c r="F46" s="18">
        <f t="shared" si="6"/>
        <v>2.1066164887753973E-3</v>
      </c>
      <c r="G46">
        <v>40</v>
      </c>
      <c r="H46">
        <v>0.11708373251469199</v>
      </c>
      <c r="I46">
        <f t="shared" si="3"/>
        <v>0.1184971774936161</v>
      </c>
      <c r="J46">
        <v>1600000</v>
      </c>
      <c r="K46">
        <v>1000</v>
      </c>
      <c r="L46">
        <v>18000</v>
      </c>
      <c r="M46">
        <v>5000</v>
      </c>
      <c r="N46" s="19">
        <f t="shared" si="7"/>
        <v>3.4759172064794057E-5</v>
      </c>
      <c r="O46">
        <v>0.1</v>
      </c>
      <c r="P46">
        <v>0.03</v>
      </c>
      <c r="Q46" s="2">
        <f t="shared" si="4"/>
        <v>1.4956762000000001E-3</v>
      </c>
      <c r="R46">
        <f t="shared" si="5"/>
        <v>1.9000000000000001E-5</v>
      </c>
      <c r="S46">
        <v>78.719800000000006</v>
      </c>
      <c r="T46" s="19">
        <f t="shared" si="8"/>
        <v>3.6370518608401913E-3</v>
      </c>
    </row>
    <row r="47" spans="1:20" x14ac:dyDescent="0.35">
      <c r="A47" t="s">
        <v>282</v>
      </c>
      <c r="B47" s="1">
        <v>9.5374990000000004</v>
      </c>
      <c r="C47" s="1">
        <v>33.886916999999997</v>
      </c>
      <c r="D47" t="s">
        <v>129</v>
      </c>
      <c r="E47" t="s">
        <v>128</v>
      </c>
      <c r="F47" s="18">
        <f t="shared" si="6"/>
        <v>2.6099381001801736E-3</v>
      </c>
      <c r="G47">
        <v>40</v>
      </c>
      <c r="H47">
        <v>0.146182989230077</v>
      </c>
      <c r="I47">
        <f t="shared" si="3"/>
        <v>0.14680901813513478</v>
      </c>
      <c r="J47">
        <v>1600000</v>
      </c>
      <c r="K47">
        <v>1000</v>
      </c>
      <c r="L47">
        <v>18000</v>
      </c>
      <c r="M47">
        <v>5000</v>
      </c>
      <c r="N47" s="19">
        <f t="shared" si="7"/>
        <v>4.3063978652972867E-5</v>
      </c>
      <c r="O47">
        <v>0.1</v>
      </c>
      <c r="P47">
        <v>0.03</v>
      </c>
      <c r="Q47" s="2">
        <f t="shared" si="4"/>
        <v>6.6265159999999998E-4</v>
      </c>
      <c r="R47">
        <f t="shared" si="5"/>
        <v>1.9000000000000001E-5</v>
      </c>
      <c r="S47">
        <v>34.876399999999997</v>
      </c>
      <c r="T47" s="19">
        <f t="shared" si="8"/>
        <v>3.3156536788331464E-3</v>
      </c>
    </row>
    <row r="48" spans="1:20" x14ac:dyDescent="0.35">
      <c r="A48" t="s">
        <v>283</v>
      </c>
      <c r="B48" s="1">
        <v>34.888821999999998</v>
      </c>
      <c r="C48" s="1">
        <v>-6.3690280000000001</v>
      </c>
      <c r="D48" t="s">
        <v>129</v>
      </c>
      <c r="E48" t="s">
        <v>128</v>
      </c>
      <c r="F48" s="18">
        <f t="shared" si="6"/>
        <v>1.7838704609717249E-3</v>
      </c>
      <c r="G48">
        <v>40</v>
      </c>
      <c r="H48">
        <v>9.7954265183249095E-2</v>
      </c>
      <c r="I48">
        <f t="shared" si="3"/>
        <v>0.10034271342965952</v>
      </c>
      <c r="J48">
        <v>1600000</v>
      </c>
      <c r="K48">
        <v>1000</v>
      </c>
      <c r="L48">
        <v>18000</v>
      </c>
      <c r="M48">
        <v>5000</v>
      </c>
      <c r="N48" s="19">
        <f t="shared" si="7"/>
        <v>2.9433862606033462E-5</v>
      </c>
      <c r="O48">
        <v>0.1</v>
      </c>
      <c r="P48">
        <v>0.03</v>
      </c>
      <c r="Q48" s="2">
        <f t="shared" si="4"/>
        <v>1.4817093000000002E-3</v>
      </c>
      <c r="R48">
        <f t="shared" si="5"/>
        <v>1.9000000000000001E-5</v>
      </c>
      <c r="S48">
        <v>77.984700000000004</v>
      </c>
      <c r="T48" s="19">
        <f t="shared" si="8"/>
        <v>3.2950136235777587E-3</v>
      </c>
    </row>
    <row r="49" spans="1:20" x14ac:dyDescent="0.35">
      <c r="A49" t="s">
        <v>284</v>
      </c>
      <c r="B49" s="1">
        <v>32.290275000000001</v>
      </c>
      <c r="C49" s="1">
        <v>1.3733329999999999</v>
      </c>
      <c r="D49" t="s">
        <v>129</v>
      </c>
      <c r="E49" t="s">
        <v>128</v>
      </c>
      <c r="F49" s="18">
        <f t="shared" si="6"/>
        <v>2.0817975561643145E-3</v>
      </c>
      <c r="G49">
        <v>40</v>
      </c>
      <c r="H49">
        <v>0.115629614609485</v>
      </c>
      <c r="I49">
        <f t="shared" si="3"/>
        <v>0.11710111253424269</v>
      </c>
      <c r="J49">
        <v>1600000</v>
      </c>
      <c r="K49">
        <v>1000</v>
      </c>
      <c r="L49">
        <v>18000</v>
      </c>
      <c r="M49">
        <v>5000</v>
      </c>
      <c r="N49" s="19">
        <f t="shared" si="7"/>
        <v>3.4349659676711192E-5</v>
      </c>
      <c r="O49">
        <v>0.1</v>
      </c>
      <c r="P49">
        <v>0.03</v>
      </c>
      <c r="Q49" s="2">
        <f t="shared" si="4"/>
        <v>1.5603256E-3</v>
      </c>
      <c r="R49">
        <f t="shared" si="5"/>
        <v>1.9000000000000001E-5</v>
      </c>
      <c r="S49">
        <v>82.122399999999999</v>
      </c>
      <c r="T49" s="19">
        <f t="shared" si="8"/>
        <v>3.6764728158410259E-3</v>
      </c>
    </row>
    <row r="50" spans="1:20" x14ac:dyDescent="0.35">
      <c r="A50" t="s">
        <v>285</v>
      </c>
      <c r="B50" s="1">
        <v>22.937505999999999</v>
      </c>
      <c r="C50" s="1">
        <v>-30.559481999999999</v>
      </c>
      <c r="D50" t="s">
        <v>129</v>
      </c>
      <c r="E50" t="s">
        <v>128</v>
      </c>
      <c r="F50" s="18">
        <f t="shared" si="6"/>
        <v>1.5830845981720373E-3</v>
      </c>
      <c r="G50">
        <v>40</v>
      </c>
      <c r="H50">
        <v>8.5731652053185003E-2</v>
      </c>
      <c r="I50">
        <f t="shared" si="3"/>
        <v>8.9048508647177102E-2</v>
      </c>
      <c r="J50">
        <v>1600000</v>
      </c>
      <c r="K50">
        <v>1000</v>
      </c>
      <c r="L50">
        <v>18000</v>
      </c>
      <c r="M50">
        <v>5000</v>
      </c>
      <c r="N50" s="19">
        <f t="shared" si="7"/>
        <v>2.6120895869838617E-5</v>
      </c>
      <c r="O50">
        <v>0.1</v>
      </c>
      <c r="P50">
        <v>0.03</v>
      </c>
      <c r="Q50" s="2">
        <f t="shared" si="4"/>
        <v>1.0137165E-3</v>
      </c>
      <c r="R50">
        <f t="shared" si="5"/>
        <v>1.9000000000000001E-5</v>
      </c>
      <c r="S50">
        <v>53.353499999999997</v>
      </c>
      <c r="T50" s="19">
        <f t="shared" si="8"/>
        <v>2.622921994041876E-3</v>
      </c>
    </row>
    <row r="51" spans="1:20" x14ac:dyDescent="0.35">
      <c r="A51" t="s">
        <v>286</v>
      </c>
      <c r="B51" s="1">
        <v>27.849332</v>
      </c>
      <c r="C51" s="1">
        <v>-13.133896999999999</v>
      </c>
      <c r="D51" t="s">
        <v>129</v>
      </c>
      <c r="E51" t="s">
        <v>128</v>
      </c>
      <c r="F51" s="18">
        <f t="shared" si="6"/>
        <v>2.4147832469669107E-3</v>
      </c>
      <c r="G51">
        <v>40</v>
      </c>
      <c r="H51">
        <v>0.134973387208804</v>
      </c>
      <c r="I51">
        <f t="shared" si="3"/>
        <v>0.13583155764188873</v>
      </c>
      <c r="J51">
        <v>1600000</v>
      </c>
      <c r="K51">
        <v>1000</v>
      </c>
      <c r="L51">
        <v>18000</v>
      </c>
      <c r="M51">
        <v>5000</v>
      </c>
      <c r="N51" s="19">
        <f t="shared" si="7"/>
        <v>3.9843923574954028E-5</v>
      </c>
      <c r="O51">
        <v>0.1</v>
      </c>
      <c r="P51">
        <v>0.03</v>
      </c>
      <c r="Q51" s="2">
        <f t="shared" si="4"/>
        <v>1.1219614E-3</v>
      </c>
      <c r="R51">
        <f t="shared" si="5"/>
        <v>1.9000000000000001E-5</v>
      </c>
      <c r="S51">
        <v>59.050600000000003</v>
      </c>
      <c r="T51" s="19">
        <f t="shared" si="8"/>
        <v>3.5765885705418645E-3</v>
      </c>
    </row>
    <row r="52" spans="1:20" x14ac:dyDescent="0.35">
      <c r="A52" t="s">
        <v>287</v>
      </c>
      <c r="B52" s="1">
        <v>29.154857</v>
      </c>
      <c r="C52" s="1">
        <v>-19.015438</v>
      </c>
      <c r="D52" t="s">
        <v>129</v>
      </c>
      <c r="E52" t="s">
        <v>128</v>
      </c>
      <c r="F52" s="18">
        <f t="shared" si="6"/>
        <v>2.5149335308793756E-3</v>
      </c>
      <c r="G52">
        <v>40</v>
      </c>
      <c r="H52">
        <v>0.14073512264773799</v>
      </c>
      <c r="I52">
        <f t="shared" si="3"/>
        <v>0.14146501111196488</v>
      </c>
      <c r="J52">
        <v>1600000</v>
      </c>
      <c r="K52">
        <v>1000</v>
      </c>
      <c r="L52">
        <v>18000</v>
      </c>
      <c r="M52">
        <v>5000</v>
      </c>
      <c r="N52" s="19">
        <f t="shared" si="7"/>
        <v>4.1496403259509698E-5</v>
      </c>
      <c r="O52">
        <v>0.1</v>
      </c>
      <c r="P52">
        <v>0.03</v>
      </c>
      <c r="Q52" s="2">
        <f t="shared" si="4"/>
        <v>1.0720693E-3</v>
      </c>
      <c r="R52">
        <f t="shared" si="5"/>
        <v>1.9000000000000001E-5</v>
      </c>
      <c r="S52">
        <v>56.424700000000001</v>
      </c>
      <c r="T52" s="19">
        <f t="shared" si="8"/>
        <v>3.6284992341388852E-3</v>
      </c>
    </row>
    <row r="53" spans="1:20" x14ac:dyDescent="0.35">
      <c r="A53" t="s">
        <v>197</v>
      </c>
      <c r="B53" s="1">
        <v>67.709952999999999</v>
      </c>
      <c r="C53" s="1">
        <v>33.939109999999999</v>
      </c>
      <c r="D53" t="s">
        <v>129</v>
      </c>
      <c r="E53" t="s">
        <v>128</v>
      </c>
      <c r="F53" s="18">
        <f t="shared" si="6"/>
        <v>4.1288828501459584E-3</v>
      </c>
      <c r="G53">
        <v>40</v>
      </c>
      <c r="H53">
        <v>0.23219486047100901</v>
      </c>
      <c r="I53">
        <f t="shared" si="3"/>
        <v>0.23224966032071018</v>
      </c>
      <c r="J53">
        <v>1600000</v>
      </c>
      <c r="K53">
        <v>1000</v>
      </c>
      <c r="L53">
        <v>18000</v>
      </c>
      <c r="M53">
        <v>5000</v>
      </c>
      <c r="N53" s="19">
        <f t="shared" si="7"/>
        <v>9.8038196086130743E-5</v>
      </c>
      <c r="O53">
        <v>0.58296565349252705</v>
      </c>
      <c r="P53">
        <v>0.03</v>
      </c>
      <c r="Q53" s="2">
        <f t="shared" si="4"/>
        <v>7.6796290000000005E-4</v>
      </c>
      <c r="R53">
        <f t="shared" si="5"/>
        <v>1.9000000000000001E-5</v>
      </c>
      <c r="S53">
        <v>40.4191</v>
      </c>
      <c r="T53" s="19">
        <f t="shared" si="8"/>
        <v>4.9948839462320895E-3</v>
      </c>
    </row>
    <row r="54" spans="1:20" x14ac:dyDescent="0.35">
      <c r="A54" t="s">
        <v>198</v>
      </c>
      <c r="B54" s="1">
        <v>53.847817999999997</v>
      </c>
      <c r="C54" s="1">
        <v>23.424075999999999</v>
      </c>
      <c r="D54" t="s">
        <v>129</v>
      </c>
      <c r="E54" t="s">
        <v>128</v>
      </c>
      <c r="F54" s="18">
        <f t="shared" si="6"/>
        <v>1.2362645250341422E-3</v>
      </c>
      <c r="G54">
        <v>40</v>
      </c>
      <c r="H54">
        <v>6.3646902544555198E-2</v>
      </c>
      <c r="I54">
        <f t="shared" si="3"/>
        <v>6.9539879533170493E-2</v>
      </c>
      <c r="J54">
        <v>1600000</v>
      </c>
      <c r="K54">
        <v>1000</v>
      </c>
      <c r="L54">
        <v>18000</v>
      </c>
      <c r="M54">
        <v>5000</v>
      </c>
      <c r="N54" s="19">
        <f t="shared" si="7"/>
        <v>2.935446422640449E-5</v>
      </c>
      <c r="O54">
        <v>0.58296565349252705</v>
      </c>
      <c r="P54">
        <v>0.03</v>
      </c>
      <c r="Q54" s="2">
        <f t="shared" si="4"/>
        <v>6.8950810000000006E-4</v>
      </c>
      <c r="R54">
        <f t="shared" si="5"/>
        <v>1.9000000000000001E-5</v>
      </c>
      <c r="S54">
        <v>36.289900000000003</v>
      </c>
      <c r="T54" s="19">
        <f t="shared" si="8"/>
        <v>1.9551270892605465E-3</v>
      </c>
    </row>
    <row r="55" spans="1:20" x14ac:dyDescent="0.35">
      <c r="A55" t="s">
        <v>199</v>
      </c>
      <c r="B55" s="1">
        <v>90.356330999999997</v>
      </c>
      <c r="C55" s="1">
        <v>23.684994</v>
      </c>
      <c r="D55" t="s">
        <v>129</v>
      </c>
      <c r="E55" t="s">
        <v>128</v>
      </c>
      <c r="F55" s="18">
        <f t="shared" si="6"/>
        <v>1.7838704609717249E-3</v>
      </c>
      <c r="G55">
        <v>40</v>
      </c>
      <c r="H55">
        <v>9.7954265183249095E-2</v>
      </c>
      <c r="I55">
        <f t="shared" si="3"/>
        <v>0.10034271342965952</v>
      </c>
      <c r="J55">
        <v>1600000</v>
      </c>
      <c r="K55">
        <v>1000</v>
      </c>
      <c r="L55">
        <v>18000</v>
      </c>
      <c r="M55">
        <v>5000</v>
      </c>
      <c r="N55" s="19">
        <f t="shared" si="7"/>
        <v>4.2357085049971827E-5</v>
      </c>
      <c r="O55">
        <v>0.58296565349252705</v>
      </c>
      <c r="P55">
        <v>0.03</v>
      </c>
      <c r="Q55" s="2">
        <f t="shared" si="4"/>
        <v>1.5552754000000002E-3</v>
      </c>
      <c r="R55">
        <f t="shared" si="5"/>
        <v>1.9000000000000001E-5</v>
      </c>
      <c r="S55">
        <v>81.8566</v>
      </c>
      <c r="T55" s="19">
        <f t="shared" si="8"/>
        <v>3.3815029460216969E-3</v>
      </c>
    </row>
    <row r="56" spans="1:20" x14ac:dyDescent="0.35">
      <c r="A56" t="s">
        <v>200</v>
      </c>
      <c r="B56" s="1">
        <v>50.637771999999998</v>
      </c>
      <c r="C56" s="1">
        <v>25.930413999999999</v>
      </c>
      <c r="D56" t="s">
        <v>129</v>
      </c>
      <c r="E56" t="s">
        <v>128</v>
      </c>
      <c r="F56" s="18">
        <f t="shared" si="6"/>
        <v>2.1482677554513128E-3</v>
      </c>
      <c r="G56">
        <v>40</v>
      </c>
      <c r="H56">
        <v>0.11951890664876499</v>
      </c>
      <c r="I56">
        <f t="shared" si="3"/>
        <v>0.12084006124413635</v>
      </c>
      <c r="J56">
        <v>1600000</v>
      </c>
      <c r="K56">
        <v>1000</v>
      </c>
      <c r="L56">
        <v>18000</v>
      </c>
      <c r="M56">
        <v>5000</v>
      </c>
      <c r="N56" s="19">
        <f t="shared" si="7"/>
        <v>5.1009511070773672E-5</v>
      </c>
      <c r="O56">
        <v>0.58296565349252705</v>
      </c>
      <c r="P56">
        <v>0.03</v>
      </c>
      <c r="Q56" s="2">
        <f t="shared" si="4"/>
        <v>6.639113000000001E-4</v>
      </c>
      <c r="R56">
        <f t="shared" si="5"/>
        <v>1.9000000000000001E-5</v>
      </c>
      <c r="S56">
        <v>34.942700000000002</v>
      </c>
      <c r="T56" s="19">
        <f t="shared" si="8"/>
        <v>2.8631885665220866E-3</v>
      </c>
    </row>
    <row r="57" spans="1:20" x14ac:dyDescent="0.35">
      <c r="A57" t="s">
        <v>201</v>
      </c>
      <c r="B57" s="1">
        <v>114.72766900000001</v>
      </c>
      <c r="C57" s="1">
        <v>4.5352769999999998</v>
      </c>
      <c r="D57" t="s">
        <v>129</v>
      </c>
      <c r="E57" t="s">
        <v>128</v>
      </c>
      <c r="F57" s="18">
        <f t="shared" si="6"/>
        <v>1.2692282539529696E-3</v>
      </c>
      <c r="G57">
        <v>40</v>
      </c>
      <c r="H57">
        <v>6.5817829210594897E-2</v>
      </c>
      <c r="I57">
        <f t="shared" si="3"/>
        <v>7.1394089284854537E-2</v>
      </c>
      <c r="J57">
        <v>1600000</v>
      </c>
      <c r="K57">
        <v>1000</v>
      </c>
      <c r="L57">
        <v>18000</v>
      </c>
      <c r="M57">
        <v>5000</v>
      </c>
      <c r="N57" s="19">
        <f t="shared" si="7"/>
        <v>3.0137170986747621E-5</v>
      </c>
      <c r="O57">
        <v>0.58296565349252705</v>
      </c>
      <c r="P57">
        <v>0.03</v>
      </c>
      <c r="Q57" s="2">
        <f t="shared" si="4"/>
        <v>1.1982369000000002E-3</v>
      </c>
      <c r="R57">
        <f t="shared" si="5"/>
        <v>1.9000000000000001E-5</v>
      </c>
      <c r="S57">
        <v>63.065100000000001</v>
      </c>
      <c r="T57" s="19">
        <f t="shared" si="8"/>
        <v>2.4976023249397173E-3</v>
      </c>
    </row>
    <row r="58" spans="1:20" x14ac:dyDescent="0.35">
      <c r="A58" t="s">
        <v>202</v>
      </c>
      <c r="B58" s="1">
        <v>90.433600999999996</v>
      </c>
      <c r="C58" s="1">
        <v>27.514161999999999</v>
      </c>
      <c r="D58" t="s">
        <v>129</v>
      </c>
      <c r="E58" t="s">
        <v>128</v>
      </c>
      <c r="F58" s="18">
        <f t="shared" si="6"/>
        <v>4.1288828501459584E-3</v>
      </c>
      <c r="G58">
        <v>40</v>
      </c>
      <c r="H58">
        <v>0.23219486047100901</v>
      </c>
      <c r="I58">
        <f t="shared" si="3"/>
        <v>0.23224966032071018</v>
      </c>
      <c r="J58">
        <v>1600000</v>
      </c>
      <c r="K58">
        <v>1000</v>
      </c>
      <c r="L58">
        <v>18000</v>
      </c>
      <c r="M58">
        <v>5000</v>
      </c>
      <c r="N58" s="19">
        <f t="shared" si="7"/>
        <v>9.8038196086130743E-5</v>
      </c>
      <c r="O58">
        <v>0.58296565349252705</v>
      </c>
      <c r="P58">
        <v>0.03</v>
      </c>
      <c r="Q58" s="2">
        <f t="shared" si="4"/>
        <v>1.2843259000000001E-3</v>
      </c>
      <c r="R58">
        <f t="shared" si="5"/>
        <v>1.9000000000000001E-5</v>
      </c>
      <c r="S58">
        <v>67.596100000000007</v>
      </c>
      <c r="T58" s="19">
        <f t="shared" si="8"/>
        <v>5.5112469462320892E-3</v>
      </c>
    </row>
    <row r="59" spans="1:20" x14ac:dyDescent="0.35">
      <c r="A59" t="s">
        <v>203</v>
      </c>
      <c r="B59">
        <v>111.90304220809765</v>
      </c>
      <c r="C59">
        <v>32.954811044249389</v>
      </c>
      <c r="D59" t="s">
        <v>129</v>
      </c>
      <c r="E59" t="s">
        <v>128</v>
      </c>
      <c r="F59" s="18">
        <f t="shared" si="6"/>
        <v>1.2652920207190544E-3</v>
      </c>
      <c r="G59">
        <v>40</v>
      </c>
      <c r="H59">
        <v>6.5559558818240202E-2</v>
      </c>
      <c r="I59">
        <f t="shared" si="3"/>
        <v>7.1172676165446813E-2</v>
      </c>
      <c r="J59">
        <v>1600000</v>
      </c>
      <c r="K59">
        <v>1000</v>
      </c>
      <c r="L59">
        <v>18000</v>
      </c>
      <c r="M59">
        <v>5000</v>
      </c>
      <c r="N59" s="19">
        <f t="shared" si="7"/>
        <v>3.0043707156546269E-5</v>
      </c>
      <c r="O59">
        <v>0.58296565349252705</v>
      </c>
      <c r="P59">
        <v>0.03</v>
      </c>
      <c r="Q59" s="2">
        <f t="shared" si="4"/>
        <v>1.2845102000000001E-3</v>
      </c>
      <c r="R59">
        <f t="shared" si="5"/>
        <v>1.9000000000000001E-5</v>
      </c>
      <c r="S59">
        <v>67.605800000000002</v>
      </c>
      <c r="T59" s="19">
        <f t="shared" si="8"/>
        <v>2.5798459278756009E-3</v>
      </c>
    </row>
    <row r="60" spans="1:20" x14ac:dyDescent="0.35">
      <c r="A60" t="s">
        <v>204</v>
      </c>
      <c r="B60">
        <v>113.92132700000001</v>
      </c>
      <c r="C60">
        <v>-0.78927499999999995</v>
      </c>
      <c r="D60" t="s">
        <v>129</v>
      </c>
      <c r="E60" t="s">
        <v>128</v>
      </c>
      <c r="F60" s="18">
        <f t="shared" si="6"/>
        <v>1.4471107607632464E-3</v>
      </c>
      <c r="G60">
        <v>40</v>
      </c>
      <c r="H60">
        <v>7.7250924433109797E-2</v>
      </c>
      <c r="I60">
        <f t="shared" si="3"/>
        <v>8.1399980292932606E-2</v>
      </c>
      <c r="J60">
        <v>1600000</v>
      </c>
      <c r="K60">
        <v>1000</v>
      </c>
      <c r="L60">
        <v>18000</v>
      </c>
      <c r="M60">
        <v>5000</v>
      </c>
      <c r="N60" s="19">
        <f t="shared" si="7"/>
        <v>3.4360899466314896E-5</v>
      </c>
      <c r="O60">
        <v>0.58296565349252705</v>
      </c>
      <c r="P60">
        <v>0.03</v>
      </c>
      <c r="Q60" s="2">
        <f t="shared" si="4"/>
        <v>1.3985539E-3</v>
      </c>
      <c r="R60">
        <f t="shared" si="5"/>
        <v>1.9000000000000001E-5</v>
      </c>
      <c r="S60">
        <v>73.608099999999993</v>
      </c>
      <c r="T60" s="19">
        <f t="shared" si="8"/>
        <v>2.8800255602295616E-3</v>
      </c>
    </row>
    <row r="61" spans="1:20" x14ac:dyDescent="0.35">
      <c r="A61" t="s">
        <v>205</v>
      </c>
      <c r="B61">
        <v>82.461300215825503</v>
      </c>
      <c r="C61">
        <v>22.33048671536692</v>
      </c>
      <c r="D61" t="s">
        <v>129</v>
      </c>
      <c r="E61" t="s">
        <v>128</v>
      </c>
      <c r="F61" s="18">
        <f t="shared" si="6"/>
        <v>1.4522586586921122E-3</v>
      </c>
      <c r="G61">
        <v>40</v>
      </c>
      <c r="H61">
        <v>7.7575627021235494E-2</v>
      </c>
      <c r="I61">
        <f t="shared" si="3"/>
        <v>8.1689549551431317E-2</v>
      </c>
      <c r="J61">
        <v>1600000</v>
      </c>
      <c r="K61">
        <v>1000</v>
      </c>
      <c r="L61">
        <v>18000</v>
      </c>
      <c r="M61">
        <v>5000</v>
      </c>
      <c r="N61" s="19">
        <f t="shared" si="7"/>
        <v>3.44831336504511E-5</v>
      </c>
      <c r="O61">
        <v>0.58296565349252705</v>
      </c>
      <c r="P61">
        <v>0.03</v>
      </c>
      <c r="Q61" s="2">
        <f t="shared" si="4"/>
        <v>1.3192479E-3</v>
      </c>
      <c r="R61">
        <f t="shared" si="5"/>
        <v>1.9000000000000001E-5</v>
      </c>
      <c r="S61">
        <v>69.434100000000001</v>
      </c>
      <c r="T61" s="19">
        <f t="shared" si="8"/>
        <v>2.8059896923425635E-3</v>
      </c>
    </row>
    <row r="62" spans="1:20" x14ac:dyDescent="0.35">
      <c r="A62" t="s">
        <v>206</v>
      </c>
      <c r="B62">
        <v>53.688046</v>
      </c>
      <c r="C62">
        <v>32.427908000000002</v>
      </c>
      <c r="D62" t="s">
        <v>129</v>
      </c>
      <c r="E62" t="s">
        <v>128</v>
      </c>
      <c r="F62" s="18">
        <f t="shared" si="6"/>
        <v>2.1625614797129451E-3</v>
      </c>
      <c r="G62">
        <v>40</v>
      </c>
      <c r="H62">
        <v>0.120353182327038</v>
      </c>
      <c r="I62">
        <f t="shared" si="3"/>
        <v>0.12164408323385316</v>
      </c>
      <c r="J62">
        <v>1600000</v>
      </c>
      <c r="K62">
        <v>1000</v>
      </c>
      <c r="L62">
        <v>18000</v>
      </c>
      <c r="M62">
        <v>5000</v>
      </c>
      <c r="N62" s="19">
        <f t="shared" si="7"/>
        <v>5.1348908189273518E-5</v>
      </c>
      <c r="O62">
        <v>0.58296565349252705</v>
      </c>
      <c r="P62">
        <v>0.03</v>
      </c>
      <c r="Q62" s="2">
        <f t="shared" si="4"/>
        <v>7.200202000000001E-4</v>
      </c>
      <c r="R62">
        <f t="shared" si="5"/>
        <v>1.9000000000000001E-5</v>
      </c>
      <c r="S62">
        <v>37.895800000000001</v>
      </c>
      <c r="T62" s="19">
        <f t="shared" si="8"/>
        <v>2.9339305879022186E-3</v>
      </c>
    </row>
    <row r="63" spans="1:20" x14ac:dyDescent="0.35">
      <c r="A63" t="s">
        <v>207</v>
      </c>
      <c r="B63">
        <v>43.679290999999999</v>
      </c>
      <c r="C63">
        <v>33.223191</v>
      </c>
      <c r="D63" t="s">
        <v>129</v>
      </c>
      <c r="E63" t="s">
        <v>128</v>
      </c>
      <c r="F63" s="18">
        <f t="shared" si="6"/>
        <v>2.3631912983814534E-3</v>
      </c>
      <c r="G63">
        <v>40</v>
      </c>
      <c r="H63">
        <v>0.13199665217450199</v>
      </c>
      <c r="I63">
        <f t="shared" si="3"/>
        <v>0.13292951053395674</v>
      </c>
      <c r="J63">
        <v>1600000</v>
      </c>
      <c r="K63">
        <v>1000</v>
      </c>
      <c r="L63">
        <v>18000</v>
      </c>
      <c r="M63">
        <v>5000</v>
      </c>
      <c r="N63" s="19">
        <f t="shared" si="7"/>
        <v>5.6112759869553761E-5</v>
      </c>
      <c r="O63">
        <v>0.58296565349252705</v>
      </c>
      <c r="P63">
        <v>0.03</v>
      </c>
      <c r="Q63" s="2">
        <f t="shared" si="4"/>
        <v>8.9359470000000007E-4</v>
      </c>
      <c r="R63">
        <f t="shared" si="5"/>
        <v>1.9000000000000001E-5</v>
      </c>
      <c r="S63">
        <v>47.031300000000002</v>
      </c>
      <c r="T63" s="19">
        <f t="shared" si="8"/>
        <v>3.312898758251007E-3</v>
      </c>
    </row>
    <row r="64" spans="1:20" x14ac:dyDescent="0.35">
      <c r="A64" t="s">
        <v>208</v>
      </c>
      <c r="B64">
        <v>34.851612000000003</v>
      </c>
      <c r="C64">
        <v>31.046050999999999</v>
      </c>
      <c r="D64" t="s">
        <v>129</v>
      </c>
      <c r="E64" t="s">
        <v>128</v>
      </c>
      <c r="F64" s="18">
        <f t="shared" si="6"/>
        <v>1.2922145493536399E-3</v>
      </c>
      <c r="G64">
        <v>40</v>
      </c>
      <c r="H64">
        <v>6.7321019001933602E-2</v>
      </c>
      <c r="I64">
        <f t="shared" si="3"/>
        <v>7.2687068401142238E-2</v>
      </c>
      <c r="J64">
        <v>1600000</v>
      </c>
      <c r="K64">
        <v>1000</v>
      </c>
      <c r="L64">
        <v>18000</v>
      </c>
      <c r="M64">
        <v>5000</v>
      </c>
      <c r="N64" s="19">
        <f t="shared" si="7"/>
        <v>3.0682968728552035E-5</v>
      </c>
      <c r="O64">
        <v>0.58296565349252705</v>
      </c>
      <c r="P64">
        <v>0.03</v>
      </c>
      <c r="Q64" s="2">
        <f t="shared" si="4"/>
        <v>1.5050641E-3</v>
      </c>
      <c r="R64">
        <f t="shared" si="5"/>
        <v>1.9000000000000001E-5</v>
      </c>
      <c r="S64">
        <v>79.213899999999995</v>
      </c>
      <c r="T64" s="19">
        <f t="shared" si="8"/>
        <v>2.8279616180821917E-3</v>
      </c>
    </row>
    <row r="65" spans="1:20" x14ac:dyDescent="0.35">
      <c r="A65" t="s">
        <v>209</v>
      </c>
      <c r="B65">
        <v>36.238413999999999</v>
      </c>
      <c r="C65">
        <v>30.585163999999999</v>
      </c>
      <c r="D65" t="s">
        <v>129</v>
      </c>
      <c r="E65" t="s">
        <v>128</v>
      </c>
      <c r="F65" s="18">
        <f t="shared" si="6"/>
        <v>1.7092913798575247E-3</v>
      </c>
      <c r="G65">
        <v>40</v>
      </c>
      <c r="H65">
        <v>9.34500174976029E-2</v>
      </c>
      <c r="I65">
        <f t="shared" si="3"/>
        <v>9.6147640116985761E-2</v>
      </c>
      <c r="J65">
        <v>1600000</v>
      </c>
      <c r="K65">
        <v>1000</v>
      </c>
      <c r="L65">
        <v>18000</v>
      </c>
      <c r="M65">
        <v>5000</v>
      </c>
      <c r="N65" s="19">
        <f t="shared" si="7"/>
        <v>4.0586243191879646E-5</v>
      </c>
      <c r="O65">
        <v>0.58296565349252705</v>
      </c>
      <c r="P65">
        <v>0.03</v>
      </c>
      <c r="Q65" s="2">
        <f t="shared" si="4"/>
        <v>9.0334360000000012E-4</v>
      </c>
      <c r="R65">
        <f t="shared" si="5"/>
        <v>1.9000000000000001E-5</v>
      </c>
      <c r="S65">
        <v>47.544400000000003</v>
      </c>
      <c r="T65" s="19">
        <f t="shared" si="8"/>
        <v>2.6532212230494048E-3</v>
      </c>
    </row>
    <row r="66" spans="1:20" x14ac:dyDescent="0.35">
      <c r="A66" t="s">
        <v>210</v>
      </c>
      <c r="B66">
        <v>135.27577090903682</v>
      </c>
      <c r="C66">
        <v>34.828615547929964</v>
      </c>
      <c r="D66" t="s">
        <v>129</v>
      </c>
      <c r="E66" t="s">
        <v>128</v>
      </c>
      <c r="F66" s="18">
        <f t="shared" ref="F66:F97" si="9">(J66*I66)/(L66*M66)</f>
        <v>1.2449957927524174E-3</v>
      </c>
      <c r="G66">
        <v>40</v>
      </c>
      <c r="H66">
        <v>6.422373253784E-2</v>
      </c>
      <c r="I66">
        <f t="shared" si="3"/>
        <v>7.0031013342323478E-2</v>
      </c>
      <c r="J66">
        <v>1600000</v>
      </c>
      <c r="K66">
        <v>1000</v>
      </c>
      <c r="L66">
        <v>18000</v>
      </c>
      <c r="M66">
        <v>5000</v>
      </c>
      <c r="N66" s="19">
        <f t="shared" ref="N66:N97" si="10">P66*F66*0.5*(1+O66)</f>
        <v>2.9561783680046655E-5</v>
      </c>
      <c r="O66">
        <v>0.58296565349252705</v>
      </c>
      <c r="P66">
        <v>0.03</v>
      </c>
      <c r="Q66" s="2">
        <f t="shared" si="4"/>
        <v>1.1285867E-3</v>
      </c>
      <c r="R66">
        <f t="shared" si="5"/>
        <v>1.9000000000000001E-5</v>
      </c>
      <c r="S66">
        <v>59.399299999999997</v>
      </c>
      <c r="T66" s="19">
        <f t="shared" ref="T66:T97" si="11">F66+Q66+N66</f>
        <v>2.403144276432464E-3</v>
      </c>
    </row>
    <row r="67" spans="1:20" x14ac:dyDescent="0.35">
      <c r="A67" t="s">
        <v>211</v>
      </c>
      <c r="B67">
        <v>66.923683999999994</v>
      </c>
      <c r="C67">
        <v>48.019573000000001</v>
      </c>
      <c r="D67" t="s">
        <v>129</v>
      </c>
      <c r="E67" t="s">
        <v>128</v>
      </c>
      <c r="F67" s="18">
        <f t="shared" si="9"/>
        <v>1.4561295168314422E-3</v>
      </c>
      <c r="G67">
        <v>40</v>
      </c>
      <c r="H67">
        <v>7.78195778091018E-2</v>
      </c>
      <c r="I67">
        <f t="shared" ref="I67:I130" si="12">((1+H67)^G67*H67)/((1+H67)^G67-1)</f>
        <v>8.1907285321768622E-2</v>
      </c>
      <c r="J67">
        <v>1600000</v>
      </c>
      <c r="K67">
        <v>1000</v>
      </c>
      <c r="L67">
        <v>18000</v>
      </c>
      <c r="M67">
        <v>5000</v>
      </c>
      <c r="N67" s="19">
        <f t="shared" si="10"/>
        <v>3.457504518271262E-5</v>
      </c>
      <c r="O67">
        <v>0.58296565349252705</v>
      </c>
      <c r="P67">
        <v>0.03</v>
      </c>
      <c r="Q67" s="2">
        <f t="shared" ref="Q67:Q130" si="13">R67*S67</f>
        <v>7.4863230000000005E-4</v>
      </c>
      <c r="R67">
        <f t="shared" ref="R67:R130" si="14">0.019/1000</f>
        <v>1.9000000000000001E-5</v>
      </c>
      <c r="S67">
        <v>39.401699999999998</v>
      </c>
      <c r="T67" s="19">
        <f t="shared" si="11"/>
        <v>2.2393368620141551E-3</v>
      </c>
    </row>
    <row r="68" spans="1:20" x14ac:dyDescent="0.35">
      <c r="A68" t="s">
        <v>212</v>
      </c>
      <c r="B68">
        <v>74.766098</v>
      </c>
      <c r="C68">
        <v>41.20438</v>
      </c>
      <c r="D68" t="s">
        <v>129</v>
      </c>
      <c r="E68" t="s">
        <v>128</v>
      </c>
      <c r="F68" s="18">
        <f t="shared" si="9"/>
        <v>2.2405201660014354E-3</v>
      </c>
      <c r="G68">
        <v>40</v>
      </c>
      <c r="H68">
        <v>0.124891512094884</v>
      </c>
      <c r="I68">
        <f t="shared" si="12"/>
        <v>0.12602925933758075</v>
      </c>
      <c r="J68">
        <v>1600000</v>
      </c>
      <c r="K68">
        <v>1000</v>
      </c>
      <c r="L68">
        <v>18000</v>
      </c>
      <c r="M68">
        <v>5000</v>
      </c>
      <c r="N68" s="19">
        <f t="shared" si="10"/>
        <v>5.31999970310647E-5</v>
      </c>
      <c r="O68">
        <v>0.58296565349252705</v>
      </c>
      <c r="P68">
        <v>0.03</v>
      </c>
      <c r="Q68" s="2">
        <f t="shared" si="13"/>
        <v>7.5040879999999999E-4</v>
      </c>
      <c r="R68">
        <f t="shared" si="14"/>
        <v>1.9000000000000001E-5</v>
      </c>
      <c r="S68">
        <v>39.495199999999997</v>
      </c>
      <c r="T68" s="19">
        <f t="shared" si="11"/>
        <v>3.0441289630325002E-3</v>
      </c>
    </row>
    <row r="69" spans="1:20" x14ac:dyDescent="0.35">
      <c r="A69" t="s">
        <v>213</v>
      </c>
      <c r="B69">
        <v>104.99096299999999</v>
      </c>
      <c r="C69">
        <v>12.565678999999999</v>
      </c>
      <c r="D69" t="s">
        <v>129</v>
      </c>
      <c r="E69" t="s">
        <v>128</v>
      </c>
      <c r="F69" s="18">
        <f t="shared" si="9"/>
        <v>2.0036400569217851E-3</v>
      </c>
      <c r="G69">
        <v>40</v>
      </c>
      <c r="H69">
        <v>0.111034262147166</v>
      </c>
      <c r="I69">
        <f t="shared" si="12"/>
        <v>0.11270475320185042</v>
      </c>
      <c r="J69">
        <v>1600000</v>
      </c>
      <c r="K69">
        <v>1000</v>
      </c>
      <c r="L69">
        <v>18000</v>
      </c>
      <c r="M69">
        <v>5000</v>
      </c>
      <c r="N69" s="19">
        <f t="shared" si="10"/>
        <v>4.7575400881034962E-5</v>
      </c>
      <c r="O69">
        <v>0.58296565349252705</v>
      </c>
      <c r="P69">
        <v>0.03</v>
      </c>
      <c r="Q69" s="2">
        <f t="shared" si="13"/>
        <v>1.2193497E-3</v>
      </c>
      <c r="R69">
        <f t="shared" si="14"/>
        <v>1.9000000000000001E-5</v>
      </c>
      <c r="S69">
        <v>64.176299999999998</v>
      </c>
      <c r="T69" s="19">
        <f t="shared" si="11"/>
        <v>3.2705651578028199E-3</v>
      </c>
    </row>
    <row r="70" spans="1:20" x14ac:dyDescent="0.35">
      <c r="A70" t="s">
        <v>214</v>
      </c>
      <c r="B70">
        <v>127.76692199999999</v>
      </c>
      <c r="C70">
        <v>35.907756999999997</v>
      </c>
      <c r="D70" t="s">
        <v>129</v>
      </c>
      <c r="E70" t="s">
        <v>128</v>
      </c>
      <c r="F70" s="18">
        <f t="shared" si="9"/>
        <v>1.2362645250341422E-3</v>
      </c>
      <c r="G70">
        <v>40</v>
      </c>
      <c r="H70">
        <v>6.3646902544555198E-2</v>
      </c>
      <c r="I70">
        <f t="shared" si="12"/>
        <v>6.9539879533170493E-2</v>
      </c>
      <c r="J70">
        <v>1600000</v>
      </c>
      <c r="K70">
        <v>1000</v>
      </c>
      <c r="L70">
        <v>18000</v>
      </c>
      <c r="M70">
        <v>5000</v>
      </c>
      <c r="N70" s="19">
        <f t="shared" si="10"/>
        <v>2.935446422640449E-5</v>
      </c>
      <c r="O70">
        <v>0.58296565349252705</v>
      </c>
      <c r="P70">
        <v>0.03</v>
      </c>
      <c r="Q70" s="2">
        <f t="shared" si="13"/>
        <v>1.5612224000000001E-3</v>
      </c>
      <c r="R70">
        <f t="shared" si="14"/>
        <v>1.9000000000000001E-5</v>
      </c>
      <c r="S70">
        <v>82.169600000000003</v>
      </c>
      <c r="T70" s="19">
        <f t="shared" si="11"/>
        <v>2.8268413892605466E-3</v>
      </c>
    </row>
    <row r="71" spans="1:20" x14ac:dyDescent="0.35">
      <c r="A71" t="s">
        <v>215</v>
      </c>
      <c r="B71">
        <v>47.481766</v>
      </c>
      <c r="C71">
        <v>29.31166</v>
      </c>
      <c r="D71" t="s">
        <v>129</v>
      </c>
      <c r="E71" t="s">
        <v>128</v>
      </c>
      <c r="F71" s="18">
        <f t="shared" si="9"/>
        <v>1.301663039063463E-3</v>
      </c>
      <c r="G71">
        <v>40</v>
      </c>
      <c r="H71">
        <v>6.7936473907920195E-2</v>
      </c>
      <c r="I71">
        <f t="shared" si="12"/>
        <v>7.3218545947319788E-2</v>
      </c>
      <c r="J71">
        <v>1600000</v>
      </c>
      <c r="K71">
        <v>1000</v>
      </c>
      <c r="L71">
        <v>18000</v>
      </c>
      <c r="M71">
        <v>5000</v>
      </c>
      <c r="N71" s="19">
        <f t="shared" si="10"/>
        <v>3.0907318248872446E-5</v>
      </c>
      <c r="O71">
        <v>0.58296565349252705</v>
      </c>
      <c r="P71">
        <v>0.03</v>
      </c>
      <c r="Q71" s="2">
        <f t="shared" si="13"/>
        <v>8.1819700000000011E-4</v>
      </c>
      <c r="R71">
        <f t="shared" si="14"/>
        <v>1.9000000000000001E-5</v>
      </c>
      <c r="S71">
        <v>43.063000000000002</v>
      </c>
      <c r="T71" s="19">
        <f t="shared" si="11"/>
        <v>2.1507673573123351E-3</v>
      </c>
    </row>
    <row r="72" spans="1:20" x14ac:dyDescent="0.35">
      <c r="A72" t="s">
        <v>216</v>
      </c>
      <c r="B72">
        <v>102.495496</v>
      </c>
      <c r="C72">
        <v>19.856269999999999</v>
      </c>
      <c r="D72" t="s">
        <v>129</v>
      </c>
      <c r="E72" t="s">
        <v>128</v>
      </c>
      <c r="F72" s="18">
        <f t="shared" si="9"/>
        <v>2.6503445401122299E-3</v>
      </c>
      <c r="G72">
        <v>40</v>
      </c>
      <c r="H72">
        <v>0.14849539866303699</v>
      </c>
      <c r="I72">
        <f t="shared" si="12"/>
        <v>0.14908188038131293</v>
      </c>
      <c r="J72">
        <v>1600000</v>
      </c>
      <c r="K72">
        <v>1000</v>
      </c>
      <c r="L72">
        <v>18000</v>
      </c>
      <c r="M72">
        <v>5000</v>
      </c>
      <c r="N72" s="19">
        <f t="shared" si="10"/>
        <v>6.2931065653786604E-5</v>
      </c>
      <c r="O72">
        <v>0.58296565349252705</v>
      </c>
      <c r="P72">
        <v>0.03</v>
      </c>
      <c r="Q72" s="2">
        <f t="shared" si="13"/>
        <v>1.2231364000000002E-3</v>
      </c>
      <c r="R72">
        <f t="shared" si="14"/>
        <v>1.9000000000000001E-5</v>
      </c>
      <c r="S72">
        <v>64.375600000000006</v>
      </c>
      <c r="T72" s="19">
        <f t="shared" si="11"/>
        <v>3.9364120057660164E-3</v>
      </c>
    </row>
    <row r="73" spans="1:20" x14ac:dyDescent="0.35">
      <c r="A73" t="s">
        <v>217</v>
      </c>
      <c r="B73">
        <v>35.862285</v>
      </c>
      <c r="C73">
        <v>33.854720999999998</v>
      </c>
      <c r="D73" t="s">
        <v>129</v>
      </c>
      <c r="E73" t="s">
        <v>128</v>
      </c>
      <c r="F73" s="18">
        <f t="shared" si="9"/>
        <v>4.1752958699081038E-3</v>
      </c>
      <c r="G73">
        <v>40</v>
      </c>
      <c r="H73">
        <v>0.23480948169052801</v>
      </c>
      <c r="I73">
        <f t="shared" si="12"/>
        <v>0.23486039268233083</v>
      </c>
      <c r="J73">
        <v>1600000</v>
      </c>
      <c r="K73">
        <v>1000</v>
      </c>
      <c r="L73">
        <v>18000</v>
      </c>
      <c r="M73">
        <v>5000</v>
      </c>
      <c r="N73" s="19">
        <f t="shared" si="10"/>
        <v>9.9140249328505951E-5</v>
      </c>
      <c r="O73">
        <v>0.58296565349252705</v>
      </c>
      <c r="P73">
        <v>0.03</v>
      </c>
      <c r="Q73" s="2">
        <f t="shared" si="13"/>
        <v>9.9368290000000016E-4</v>
      </c>
      <c r="R73">
        <f t="shared" si="14"/>
        <v>1.9000000000000001E-5</v>
      </c>
      <c r="S73">
        <v>52.299100000000003</v>
      </c>
      <c r="T73" s="19">
        <f t="shared" si="11"/>
        <v>5.2681190192366096E-3</v>
      </c>
    </row>
    <row r="74" spans="1:20" x14ac:dyDescent="0.35">
      <c r="A74" t="s">
        <v>218</v>
      </c>
      <c r="B74">
        <v>80.771797000000007</v>
      </c>
      <c r="C74">
        <v>7.8730539999999998</v>
      </c>
      <c r="D74" t="s">
        <v>129</v>
      </c>
      <c r="E74" t="s">
        <v>128</v>
      </c>
      <c r="F74" s="18">
        <f t="shared" si="9"/>
        <v>2.9988537568813906E-3</v>
      </c>
      <c r="G74">
        <v>40</v>
      </c>
      <c r="H74">
        <v>0.16835122014527801</v>
      </c>
      <c r="I74">
        <f t="shared" si="12"/>
        <v>0.16868552382457822</v>
      </c>
      <c r="J74">
        <v>1600000</v>
      </c>
      <c r="K74">
        <v>1000</v>
      </c>
      <c r="L74">
        <v>18000</v>
      </c>
      <c r="M74">
        <v>5000</v>
      </c>
      <c r="N74" s="19">
        <f t="shared" si="10"/>
        <v>7.1206237454854047E-5</v>
      </c>
      <c r="O74">
        <v>0.58296565349252705</v>
      </c>
      <c r="P74">
        <v>0.03</v>
      </c>
      <c r="Q74" s="2">
        <f t="shared" si="13"/>
        <v>1.7770263E-3</v>
      </c>
      <c r="R74">
        <f t="shared" si="14"/>
        <v>1.9000000000000001E-5</v>
      </c>
      <c r="S74">
        <v>93.527699999999996</v>
      </c>
      <c r="T74" s="19">
        <f t="shared" si="11"/>
        <v>4.8470862943362451E-3</v>
      </c>
    </row>
    <row r="75" spans="1:20" x14ac:dyDescent="0.35">
      <c r="A75" t="s">
        <v>219</v>
      </c>
      <c r="B75">
        <v>95.956222999999994</v>
      </c>
      <c r="C75">
        <v>21.913965000000001</v>
      </c>
      <c r="D75" t="s">
        <v>129</v>
      </c>
      <c r="E75" t="s">
        <v>128</v>
      </c>
      <c r="F75" s="18">
        <f t="shared" si="9"/>
        <v>2.5414907582338784E-3</v>
      </c>
      <c r="G75">
        <v>40</v>
      </c>
      <c r="H75">
        <v>0.14225962852263099</v>
      </c>
      <c r="I75">
        <f t="shared" si="12"/>
        <v>0.14295885515065565</v>
      </c>
      <c r="J75">
        <v>1600000</v>
      </c>
      <c r="K75">
        <v>1000</v>
      </c>
      <c r="L75">
        <v>18000</v>
      </c>
      <c r="M75">
        <v>5000</v>
      </c>
      <c r="N75" s="19">
        <f t="shared" si="10"/>
        <v>6.0346388684293635E-5</v>
      </c>
      <c r="O75">
        <v>0.58296565349252705</v>
      </c>
      <c r="P75">
        <v>0.03</v>
      </c>
      <c r="Q75" s="2">
        <f t="shared" si="13"/>
        <v>1.3857365E-3</v>
      </c>
      <c r="R75">
        <f t="shared" si="14"/>
        <v>1.9000000000000001E-5</v>
      </c>
      <c r="S75">
        <v>72.933499999999995</v>
      </c>
      <c r="T75" s="19">
        <f t="shared" si="11"/>
        <v>3.9875736469181721E-3</v>
      </c>
    </row>
    <row r="76" spans="1:20" x14ac:dyDescent="0.35">
      <c r="A76" t="s">
        <v>220</v>
      </c>
      <c r="B76">
        <v>103.846656</v>
      </c>
      <c r="C76">
        <v>46.862496</v>
      </c>
      <c r="D76" t="s">
        <v>129</v>
      </c>
      <c r="E76" t="s">
        <v>128</v>
      </c>
      <c r="F76" s="18">
        <f t="shared" si="9"/>
        <v>2.1213368459308741E-3</v>
      </c>
      <c r="G76">
        <v>40</v>
      </c>
      <c r="H76">
        <v>0.117945088980835</v>
      </c>
      <c r="I76">
        <f t="shared" si="12"/>
        <v>0.11932519758361167</v>
      </c>
      <c r="J76">
        <v>1600000</v>
      </c>
      <c r="K76">
        <v>1000</v>
      </c>
      <c r="L76">
        <v>18000</v>
      </c>
      <c r="M76">
        <v>5000</v>
      </c>
      <c r="N76" s="19">
        <f t="shared" si="10"/>
        <v>5.0370050498951131E-5</v>
      </c>
      <c r="O76">
        <v>0.58296565349252705</v>
      </c>
      <c r="P76">
        <v>0.03</v>
      </c>
      <c r="Q76" s="2">
        <f t="shared" si="13"/>
        <v>9.3698119999999999E-4</v>
      </c>
      <c r="R76">
        <f t="shared" si="14"/>
        <v>1.9000000000000001E-5</v>
      </c>
      <c r="S76">
        <v>49.314799999999998</v>
      </c>
      <c r="T76" s="19">
        <f t="shared" si="11"/>
        <v>3.1086880964298251E-3</v>
      </c>
    </row>
    <row r="77" spans="1:20" x14ac:dyDescent="0.35">
      <c r="A77" t="s">
        <v>221</v>
      </c>
      <c r="B77">
        <v>101.97576599999999</v>
      </c>
      <c r="C77">
        <v>4.2104840000000001</v>
      </c>
      <c r="D77" t="s">
        <v>129</v>
      </c>
      <c r="E77" t="s">
        <v>128</v>
      </c>
      <c r="F77" s="18">
        <f t="shared" si="9"/>
        <v>1.3378224898481287E-3</v>
      </c>
      <c r="G77">
        <v>40</v>
      </c>
      <c r="H77">
        <v>7.0279317686582798E-2</v>
      </c>
      <c r="I77">
        <f t="shared" si="12"/>
        <v>7.5252515053957234E-2</v>
      </c>
      <c r="J77">
        <v>1600000</v>
      </c>
      <c r="K77">
        <v>1000</v>
      </c>
      <c r="L77">
        <v>18000</v>
      </c>
      <c r="M77">
        <v>5000</v>
      </c>
      <c r="N77" s="19">
        <f t="shared" si="10"/>
        <v>3.1765905778491638E-5</v>
      </c>
      <c r="O77">
        <v>0.58296565349252705</v>
      </c>
      <c r="P77">
        <v>0.03</v>
      </c>
      <c r="Q77" s="2">
        <f t="shared" si="13"/>
        <v>1.2630345000000001E-3</v>
      </c>
      <c r="R77">
        <f t="shared" si="14"/>
        <v>1.9000000000000001E-5</v>
      </c>
      <c r="S77">
        <v>66.475499999999997</v>
      </c>
      <c r="T77" s="19">
        <f t="shared" si="11"/>
        <v>2.6326228956266204E-3</v>
      </c>
    </row>
    <row r="78" spans="1:20" x14ac:dyDescent="0.35">
      <c r="A78" t="s">
        <v>222</v>
      </c>
      <c r="B78">
        <v>84.124008000000003</v>
      </c>
      <c r="C78">
        <v>28.394856999999998</v>
      </c>
      <c r="D78" t="s">
        <v>129</v>
      </c>
      <c r="E78" t="s">
        <v>128</v>
      </c>
      <c r="F78" s="18">
        <f t="shared" si="9"/>
        <v>4.1288828501459584E-3</v>
      </c>
      <c r="G78">
        <v>40</v>
      </c>
      <c r="H78">
        <v>0.23219486047100901</v>
      </c>
      <c r="I78">
        <f t="shared" si="12"/>
        <v>0.23224966032071018</v>
      </c>
      <c r="J78">
        <v>1600000</v>
      </c>
      <c r="K78">
        <v>1000</v>
      </c>
      <c r="L78">
        <v>18000</v>
      </c>
      <c r="M78">
        <v>5000</v>
      </c>
      <c r="N78" s="19">
        <f t="shared" si="10"/>
        <v>9.8038196086130743E-5</v>
      </c>
      <c r="O78">
        <v>0.58296565349252705</v>
      </c>
      <c r="P78">
        <v>0.03</v>
      </c>
      <c r="Q78" s="2">
        <f t="shared" si="13"/>
        <v>1.4894024E-3</v>
      </c>
      <c r="R78">
        <f t="shared" si="14"/>
        <v>1.9000000000000001E-5</v>
      </c>
      <c r="S78">
        <v>78.389600000000002</v>
      </c>
      <c r="T78" s="19">
        <f t="shared" si="11"/>
        <v>5.7163234462320892E-3</v>
      </c>
    </row>
    <row r="79" spans="1:20" x14ac:dyDescent="0.35">
      <c r="A79" t="s">
        <v>223</v>
      </c>
      <c r="B79">
        <v>55.923254999999997</v>
      </c>
      <c r="C79">
        <v>21.512582999999999</v>
      </c>
      <c r="D79" t="s">
        <v>129</v>
      </c>
      <c r="E79" t="s">
        <v>128</v>
      </c>
      <c r="F79" s="18">
        <f t="shared" si="9"/>
        <v>1.5695139649940157E-3</v>
      </c>
      <c r="G79">
        <v>40</v>
      </c>
      <c r="H79">
        <v>8.4893579919662496E-2</v>
      </c>
      <c r="I79">
        <f t="shared" si="12"/>
        <v>8.8285160530913384E-2</v>
      </c>
      <c r="J79">
        <v>1600000</v>
      </c>
      <c r="K79">
        <v>1000</v>
      </c>
      <c r="L79">
        <v>18000</v>
      </c>
      <c r="M79">
        <v>5000</v>
      </c>
      <c r="N79" s="19">
        <f t="shared" si="10"/>
        <v>3.7267300488935981E-5</v>
      </c>
      <c r="O79">
        <v>0.58296565349252705</v>
      </c>
      <c r="P79">
        <v>0.03</v>
      </c>
      <c r="Q79" s="2">
        <f t="shared" si="13"/>
        <v>7.5144999999999997E-4</v>
      </c>
      <c r="R79">
        <f t="shared" si="14"/>
        <v>1.9000000000000001E-5</v>
      </c>
      <c r="S79">
        <v>39.549999999999997</v>
      </c>
      <c r="T79" s="19">
        <f t="shared" si="11"/>
        <v>2.3582312654829517E-3</v>
      </c>
    </row>
    <row r="80" spans="1:20" x14ac:dyDescent="0.35">
      <c r="A80" t="s">
        <v>224</v>
      </c>
      <c r="B80">
        <v>69.345116000000004</v>
      </c>
      <c r="C80">
        <v>30.375321</v>
      </c>
      <c r="D80" t="s">
        <v>129</v>
      </c>
      <c r="E80" t="s">
        <v>128</v>
      </c>
      <c r="F80" s="18">
        <f t="shared" si="9"/>
        <v>2.6279272385557775E-3</v>
      </c>
      <c r="G80">
        <v>40</v>
      </c>
      <c r="H80">
        <v>0.14721280517749399</v>
      </c>
      <c r="I80">
        <f t="shared" si="12"/>
        <v>0.14782090716876251</v>
      </c>
      <c r="J80">
        <v>1600000</v>
      </c>
      <c r="K80">
        <v>1000</v>
      </c>
      <c r="L80">
        <v>18000</v>
      </c>
      <c r="M80">
        <v>5000</v>
      </c>
      <c r="N80" s="19">
        <f t="shared" si="10"/>
        <v>6.239877837766886E-5</v>
      </c>
      <c r="O80">
        <v>0.58296565349252705</v>
      </c>
      <c r="P80">
        <v>0.03</v>
      </c>
      <c r="Q80" s="2">
        <f t="shared" si="13"/>
        <v>1.1775269E-3</v>
      </c>
      <c r="R80">
        <f t="shared" si="14"/>
        <v>1.9000000000000001E-5</v>
      </c>
      <c r="S80">
        <v>61.975099999999998</v>
      </c>
      <c r="T80" s="19">
        <f t="shared" si="11"/>
        <v>3.8678529169334465E-3</v>
      </c>
    </row>
    <row r="81" spans="1:20" x14ac:dyDescent="0.35">
      <c r="A81" t="s">
        <v>225</v>
      </c>
      <c r="B81">
        <v>121.008118</v>
      </c>
      <c r="C81">
        <v>14.616927</v>
      </c>
      <c r="D81" t="s">
        <v>129</v>
      </c>
      <c r="E81" t="s">
        <v>128</v>
      </c>
      <c r="F81" s="18">
        <f t="shared" si="9"/>
        <v>1.4336109562942255E-3</v>
      </c>
      <c r="G81">
        <v>40</v>
      </c>
      <c r="H81">
        <v>7.6397944369121895E-2</v>
      </c>
      <c r="I81">
        <f t="shared" si="12"/>
        <v>8.0640616291550185E-2</v>
      </c>
      <c r="J81">
        <v>1600000</v>
      </c>
      <c r="K81">
        <v>1000</v>
      </c>
      <c r="L81">
        <v>18000</v>
      </c>
      <c r="M81">
        <v>5000</v>
      </c>
      <c r="N81" s="19">
        <f t="shared" si="10"/>
        <v>3.404035356426503E-5</v>
      </c>
      <c r="O81">
        <v>0.58296565349252705</v>
      </c>
      <c r="P81">
        <v>0.03</v>
      </c>
      <c r="Q81" s="2">
        <f t="shared" si="13"/>
        <v>1.2101575000000001E-3</v>
      </c>
      <c r="R81">
        <f t="shared" si="14"/>
        <v>1.9000000000000001E-5</v>
      </c>
      <c r="S81">
        <v>63.692500000000003</v>
      </c>
      <c r="T81" s="19">
        <f t="shared" si="11"/>
        <v>2.6778088098584909E-3</v>
      </c>
    </row>
    <row r="82" spans="1:20" x14ac:dyDescent="0.35">
      <c r="A82" t="s">
        <v>226</v>
      </c>
      <c r="B82">
        <v>127.510093</v>
      </c>
      <c r="C82">
        <v>40.339852</v>
      </c>
      <c r="D82" t="s">
        <v>129</v>
      </c>
      <c r="E82" t="s">
        <v>128</v>
      </c>
      <c r="F82" s="18">
        <f t="shared" si="9"/>
        <v>4.1752958699081038E-3</v>
      </c>
      <c r="G82">
        <v>40</v>
      </c>
      <c r="H82">
        <f>MAX($H$53:$H$81,$H$83:$H$90,$H$92:$H$96)</f>
        <v>0.23480948169052801</v>
      </c>
      <c r="I82">
        <f t="shared" si="12"/>
        <v>0.23486039268233083</v>
      </c>
      <c r="J82">
        <v>1600000</v>
      </c>
      <c r="K82">
        <v>1000</v>
      </c>
      <c r="L82">
        <v>18000</v>
      </c>
      <c r="M82">
        <v>5000</v>
      </c>
      <c r="N82" s="19">
        <f t="shared" si="10"/>
        <v>9.9140249328505951E-5</v>
      </c>
      <c r="O82">
        <v>0.58296565349252705</v>
      </c>
      <c r="P82">
        <v>0.03</v>
      </c>
      <c r="Q82" s="2">
        <f t="shared" si="13"/>
        <v>8.6197110000000004E-4</v>
      </c>
      <c r="R82">
        <f t="shared" si="14"/>
        <v>1.9000000000000001E-5</v>
      </c>
      <c r="S82">
        <v>45.366900000000001</v>
      </c>
      <c r="T82" s="19">
        <f t="shared" si="11"/>
        <v>5.1364072192366097E-3</v>
      </c>
    </row>
    <row r="83" spans="1:20" x14ac:dyDescent="0.35">
      <c r="A83" t="s">
        <v>227</v>
      </c>
      <c r="B83">
        <v>51.183883999999999</v>
      </c>
      <c r="C83">
        <v>25.354825999999999</v>
      </c>
      <c r="D83" t="s">
        <v>129</v>
      </c>
      <c r="E83" t="s">
        <v>128</v>
      </c>
      <c r="F83" s="18">
        <f t="shared" si="9"/>
        <v>1.2886555235161132E-3</v>
      </c>
      <c r="G83">
        <v>40</v>
      </c>
      <c r="H83">
        <v>6.7088829116942306E-2</v>
      </c>
      <c r="I83">
        <f t="shared" si="12"/>
        <v>7.2486873197781368E-2</v>
      </c>
      <c r="J83">
        <v>1600000</v>
      </c>
      <c r="K83">
        <v>1000</v>
      </c>
      <c r="L83">
        <v>18000</v>
      </c>
      <c r="M83">
        <v>5000</v>
      </c>
      <c r="N83" s="19">
        <f t="shared" si="10"/>
        <v>3.0598461493641574E-5</v>
      </c>
      <c r="O83">
        <v>0.58296565349252705</v>
      </c>
      <c r="P83">
        <v>0.03</v>
      </c>
      <c r="Q83" s="2">
        <f t="shared" si="13"/>
        <v>7.9282630000000005E-4</v>
      </c>
      <c r="R83">
        <f t="shared" si="14"/>
        <v>1.9000000000000001E-5</v>
      </c>
      <c r="S83">
        <v>41.727699999999999</v>
      </c>
      <c r="T83" s="19">
        <f t="shared" si="11"/>
        <v>2.1120802850097551E-3</v>
      </c>
    </row>
    <row r="84" spans="1:20" x14ac:dyDescent="0.35">
      <c r="A84" t="s">
        <v>228</v>
      </c>
      <c r="B84">
        <v>66.619219656719494</v>
      </c>
      <c r="C84">
        <v>57.185329126063273</v>
      </c>
      <c r="D84" t="s">
        <v>129</v>
      </c>
      <c r="E84" t="s">
        <v>128</v>
      </c>
      <c r="F84" s="18">
        <f t="shared" si="9"/>
        <v>1.6203224804694212E-3</v>
      </c>
      <c r="G84">
        <v>40</v>
      </c>
      <c r="H84">
        <v>8.8022781494651106E-2</v>
      </c>
      <c r="I84">
        <f t="shared" si="12"/>
        <v>9.1143139526404945E-2</v>
      </c>
      <c r="J84">
        <v>1600000</v>
      </c>
      <c r="K84">
        <v>1000</v>
      </c>
      <c r="L84">
        <v>18000</v>
      </c>
      <c r="M84">
        <v>5000</v>
      </c>
      <c r="N84" s="19">
        <f t="shared" si="10"/>
        <v>3.847372251247364E-5</v>
      </c>
      <c r="O84">
        <v>0.58296565349252705</v>
      </c>
      <c r="P84">
        <v>0.03</v>
      </c>
      <c r="Q84" s="2">
        <f t="shared" si="13"/>
        <v>6.8581260000000004E-4</v>
      </c>
      <c r="R84">
        <f t="shared" si="14"/>
        <v>1.9000000000000001E-5</v>
      </c>
      <c r="S84">
        <v>36.095399999999998</v>
      </c>
      <c r="T84" s="19">
        <f t="shared" si="11"/>
        <v>2.3446088029818947E-3</v>
      </c>
    </row>
    <row r="85" spans="1:20" x14ac:dyDescent="0.35">
      <c r="A85" t="s">
        <v>229</v>
      </c>
      <c r="B85">
        <v>45.079161999999997</v>
      </c>
      <c r="C85">
        <v>23.885942</v>
      </c>
      <c r="D85" t="s">
        <v>129</v>
      </c>
      <c r="E85" t="s">
        <v>128</v>
      </c>
      <c r="F85" s="18">
        <f t="shared" si="9"/>
        <v>1.2834370783904947E-3</v>
      </c>
      <c r="G85">
        <v>40</v>
      </c>
      <c r="H85">
        <v>6.6748016363080198E-2</v>
      </c>
      <c r="I85">
        <f t="shared" si="12"/>
        <v>7.2193335659465327E-2</v>
      </c>
      <c r="J85">
        <v>1600000</v>
      </c>
      <c r="K85">
        <v>1000</v>
      </c>
      <c r="L85">
        <v>18000</v>
      </c>
      <c r="M85">
        <v>5000</v>
      </c>
      <c r="N85" s="19">
        <f t="shared" si="10"/>
        <v>3.0474552202664234E-5</v>
      </c>
      <c r="O85">
        <v>0.58296565349252705</v>
      </c>
      <c r="P85">
        <v>0.03</v>
      </c>
      <c r="Q85" s="2">
        <f t="shared" si="13"/>
        <v>7.6146490000000009E-4</v>
      </c>
      <c r="R85">
        <f t="shared" si="14"/>
        <v>1.9000000000000001E-5</v>
      </c>
      <c r="S85">
        <v>40.077100000000002</v>
      </c>
      <c r="T85" s="19">
        <f t="shared" si="11"/>
        <v>2.0753765305931591E-3</v>
      </c>
    </row>
    <row r="86" spans="1:20" x14ac:dyDescent="0.35">
      <c r="A86" t="s">
        <v>230</v>
      </c>
      <c r="B86">
        <v>103.819836</v>
      </c>
      <c r="C86">
        <v>1.3520829999999999</v>
      </c>
      <c r="D86" t="s">
        <v>129</v>
      </c>
      <c r="E86" t="s">
        <v>128</v>
      </c>
      <c r="F86" s="18">
        <f t="shared" si="9"/>
        <v>1.1944595500108868E-3</v>
      </c>
      <c r="G86">
        <v>40</v>
      </c>
      <c r="H86">
        <v>6.0866110311686802E-2</v>
      </c>
      <c r="I86">
        <f t="shared" si="12"/>
        <v>6.7188349688112381E-2</v>
      </c>
      <c r="J86">
        <v>1600000</v>
      </c>
      <c r="K86">
        <v>1000</v>
      </c>
      <c r="L86">
        <v>18000</v>
      </c>
      <c r="M86">
        <v>5000</v>
      </c>
      <c r="N86" s="19">
        <f t="shared" si="10"/>
        <v>2.8361826632300596E-5</v>
      </c>
      <c r="O86">
        <v>0.58296565349252705</v>
      </c>
      <c r="P86">
        <v>0.03</v>
      </c>
      <c r="Q86" s="2">
        <f t="shared" si="13"/>
        <v>1.5707300000000002E-3</v>
      </c>
      <c r="R86">
        <f t="shared" si="14"/>
        <v>1.9000000000000001E-5</v>
      </c>
      <c r="S86">
        <v>82.67</v>
      </c>
      <c r="T86" s="19">
        <f t="shared" si="11"/>
        <v>2.7935513766431876E-3</v>
      </c>
    </row>
    <row r="87" spans="1:20" x14ac:dyDescent="0.35">
      <c r="A87" t="s">
        <v>231</v>
      </c>
      <c r="B87">
        <v>38.996814999999998</v>
      </c>
      <c r="C87">
        <v>34.802075000000002</v>
      </c>
      <c r="D87" t="s">
        <v>129</v>
      </c>
      <c r="E87" t="s">
        <v>128</v>
      </c>
      <c r="F87" s="18">
        <f t="shared" si="9"/>
        <v>3.9929912773373419E-3</v>
      </c>
      <c r="G87">
        <v>40</v>
      </c>
      <c r="H87">
        <v>0.224537755470988</v>
      </c>
      <c r="I87">
        <f t="shared" si="12"/>
        <v>0.2246057593502255</v>
      </c>
      <c r="J87">
        <v>1600000</v>
      </c>
      <c r="K87">
        <v>1000</v>
      </c>
      <c r="L87">
        <v>18000</v>
      </c>
      <c r="M87">
        <v>5000</v>
      </c>
      <c r="N87" s="19">
        <f t="shared" si="10"/>
        <v>9.4811520700803978E-5</v>
      </c>
      <c r="O87">
        <v>0.58296565349252705</v>
      </c>
      <c r="P87">
        <v>0.03</v>
      </c>
      <c r="Q87" s="2">
        <f t="shared" si="13"/>
        <v>9.8905450000000002E-4</v>
      </c>
      <c r="R87">
        <f t="shared" si="14"/>
        <v>1.9000000000000001E-5</v>
      </c>
      <c r="S87">
        <v>52.055500000000002</v>
      </c>
      <c r="T87" s="19">
        <f t="shared" si="11"/>
        <v>5.076857298038146E-3</v>
      </c>
    </row>
    <row r="88" spans="1:20" x14ac:dyDescent="0.35">
      <c r="A88" t="s">
        <v>232</v>
      </c>
      <c r="B88">
        <v>100.992541</v>
      </c>
      <c r="C88">
        <v>15.870032</v>
      </c>
      <c r="D88" t="s">
        <v>129</v>
      </c>
      <c r="E88" t="s">
        <v>128</v>
      </c>
      <c r="F88" s="18">
        <f t="shared" si="9"/>
        <v>1.4115204498964856E-3</v>
      </c>
      <c r="G88">
        <v>40</v>
      </c>
      <c r="H88">
        <v>7.4997415087566896E-2</v>
      </c>
      <c r="I88">
        <f t="shared" si="12"/>
        <v>7.939802530667732E-2</v>
      </c>
      <c r="J88">
        <v>1600000</v>
      </c>
      <c r="K88">
        <v>1000</v>
      </c>
      <c r="L88">
        <v>18000</v>
      </c>
      <c r="M88">
        <v>5000</v>
      </c>
      <c r="N88" s="19">
        <f t="shared" si="10"/>
        <v>3.3515825870826838E-5</v>
      </c>
      <c r="O88">
        <v>0.58296565349252705</v>
      </c>
      <c r="P88">
        <v>0.03</v>
      </c>
      <c r="Q88" s="2">
        <f t="shared" si="13"/>
        <v>1.2351216E-3</v>
      </c>
      <c r="R88">
        <f t="shared" si="14"/>
        <v>1.9000000000000001E-5</v>
      </c>
      <c r="S88">
        <v>65.006399999999999</v>
      </c>
      <c r="T88" s="19">
        <f t="shared" si="11"/>
        <v>2.6801578757673127E-3</v>
      </c>
    </row>
    <row r="89" spans="1:20" x14ac:dyDescent="0.35">
      <c r="A89" t="s">
        <v>233</v>
      </c>
      <c r="B89">
        <v>71.276093000000003</v>
      </c>
      <c r="C89">
        <v>38.861033999999997</v>
      </c>
      <c r="D89" t="s">
        <v>129</v>
      </c>
      <c r="E89" t="s">
        <v>128</v>
      </c>
      <c r="F89" s="18">
        <f t="shared" si="9"/>
        <v>2.1768550688932827E-3</v>
      </c>
      <c r="G89">
        <v>40</v>
      </c>
      <c r="H89">
        <v>0.12118675310072401</v>
      </c>
      <c r="I89">
        <f t="shared" si="12"/>
        <v>0.12244809762524715</v>
      </c>
      <c r="J89">
        <v>1600000</v>
      </c>
      <c r="K89">
        <v>1000</v>
      </c>
      <c r="L89">
        <v>18000</v>
      </c>
      <c r="M89">
        <v>5000</v>
      </c>
      <c r="N89" s="19">
        <f t="shared" si="10"/>
        <v>5.1688302100337622E-5</v>
      </c>
      <c r="O89">
        <v>0.58296565349252705</v>
      </c>
      <c r="P89">
        <v>0.03</v>
      </c>
      <c r="Q89" s="2">
        <f t="shared" si="13"/>
        <v>7.5019789999999995E-4</v>
      </c>
      <c r="R89">
        <f t="shared" si="14"/>
        <v>1.9000000000000001E-5</v>
      </c>
      <c r="S89">
        <v>39.484099999999998</v>
      </c>
      <c r="T89" s="19">
        <f t="shared" si="11"/>
        <v>2.9787412709936204E-3</v>
      </c>
    </row>
    <row r="90" spans="1:20" x14ac:dyDescent="0.35">
      <c r="A90" t="s">
        <v>234</v>
      </c>
      <c r="B90">
        <v>59.556277999999999</v>
      </c>
      <c r="C90">
        <v>38.969718999999998</v>
      </c>
      <c r="D90" t="s">
        <v>129</v>
      </c>
      <c r="E90" t="s">
        <v>128</v>
      </c>
      <c r="F90" s="18">
        <f t="shared" si="9"/>
        <v>4.1288828501459584E-3</v>
      </c>
      <c r="G90">
        <v>40</v>
      </c>
      <c r="H90">
        <v>0.23219486047100901</v>
      </c>
      <c r="I90">
        <f t="shared" si="12"/>
        <v>0.23224966032071018</v>
      </c>
      <c r="J90">
        <v>1600000</v>
      </c>
      <c r="K90">
        <v>1000</v>
      </c>
      <c r="L90">
        <v>18000</v>
      </c>
      <c r="M90">
        <v>5000</v>
      </c>
      <c r="N90" s="19">
        <f t="shared" si="10"/>
        <v>9.8038196086130743E-5</v>
      </c>
      <c r="O90">
        <v>0.58296565349252705</v>
      </c>
      <c r="P90">
        <v>0.03</v>
      </c>
      <c r="Q90" s="2">
        <f t="shared" si="13"/>
        <v>7.4599319999999998E-4</v>
      </c>
      <c r="R90">
        <f t="shared" si="14"/>
        <v>1.9000000000000001E-5</v>
      </c>
      <c r="S90">
        <v>39.262799999999999</v>
      </c>
      <c r="T90" s="19">
        <f t="shared" si="11"/>
        <v>4.9729142462320896E-3</v>
      </c>
    </row>
    <row r="91" spans="1:20" x14ac:dyDescent="0.35">
      <c r="A91" t="s">
        <v>293</v>
      </c>
      <c r="B91">
        <v>125.72753899999999</v>
      </c>
      <c r="C91">
        <v>-8.8742169999999998</v>
      </c>
      <c r="D91" t="s">
        <v>129</v>
      </c>
      <c r="E91" t="s">
        <v>128</v>
      </c>
      <c r="F91" s="18">
        <f t="shared" si="9"/>
        <v>4.1752958699081038E-3</v>
      </c>
      <c r="G91">
        <v>40</v>
      </c>
      <c r="H91">
        <f>MAX($H$53:$H$81,$H$83:$H$90,$H$92:$H$96)</f>
        <v>0.23480948169052801</v>
      </c>
      <c r="I91">
        <f t="shared" si="12"/>
        <v>0.23486039268233083</v>
      </c>
      <c r="J91">
        <v>1600000</v>
      </c>
      <c r="K91">
        <v>1000</v>
      </c>
      <c r="L91">
        <v>18000</v>
      </c>
      <c r="M91">
        <v>5000</v>
      </c>
      <c r="N91" s="19">
        <f t="shared" si="10"/>
        <v>9.9140249328505951E-5</v>
      </c>
      <c r="O91">
        <v>0.58296565349252705</v>
      </c>
      <c r="P91">
        <v>0.03</v>
      </c>
      <c r="Q91" s="2">
        <f t="shared" si="13"/>
        <v>1.7770263E-3</v>
      </c>
      <c r="R91">
        <f t="shared" si="14"/>
        <v>1.9000000000000001E-5</v>
      </c>
      <c r="S91">
        <v>93.527699999999996</v>
      </c>
      <c r="T91" s="19">
        <f t="shared" si="11"/>
        <v>6.0514624192366095E-3</v>
      </c>
    </row>
    <row r="92" spans="1:20" x14ac:dyDescent="0.35">
      <c r="A92" t="s">
        <v>235</v>
      </c>
      <c r="B92">
        <v>35.243321999999999</v>
      </c>
      <c r="C92">
        <v>38.963745000000003</v>
      </c>
      <c r="D92" t="s">
        <v>129</v>
      </c>
      <c r="E92" t="s">
        <v>128</v>
      </c>
      <c r="F92" s="18">
        <f t="shared" si="9"/>
        <v>2.1213368459308741E-3</v>
      </c>
      <c r="G92">
        <v>40</v>
      </c>
      <c r="H92">
        <v>0.117945088980835</v>
      </c>
      <c r="I92">
        <f t="shared" si="12"/>
        <v>0.11932519758361167</v>
      </c>
      <c r="J92">
        <v>1600000</v>
      </c>
      <c r="K92">
        <v>1000</v>
      </c>
      <c r="L92">
        <v>18000</v>
      </c>
      <c r="M92">
        <v>5000</v>
      </c>
      <c r="N92" s="19">
        <f t="shared" si="10"/>
        <v>5.0370050498951131E-5</v>
      </c>
      <c r="O92">
        <v>0.58296565349252705</v>
      </c>
      <c r="P92">
        <v>0.03</v>
      </c>
      <c r="Q92" s="2">
        <f t="shared" si="13"/>
        <v>1.7039276000000003E-3</v>
      </c>
      <c r="R92">
        <f t="shared" si="14"/>
        <v>1.9000000000000001E-5</v>
      </c>
      <c r="S92">
        <v>89.680400000000006</v>
      </c>
      <c r="T92" s="19">
        <f t="shared" si="11"/>
        <v>3.8756344964298254E-3</v>
      </c>
    </row>
    <row r="93" spans="1:20" x14ac:dyDescent="0.35">
      <c r="A93" t="s">
        <v>236</v>
      </c>
      <c r="B93">
        <v>120.960515</v>
      </c>
      <c r="C93">
        <v>23.69781</v>
      </c>
      <c r="D93" t="s">
        <v>129</v>
      </c>
      <c r="E93" t="s">
        <v>128</v>
      </c>
      <c r="F93" s="18">
        <f t="shared" si="9"/>
        <v>1.26851598902884E-3</v>
      </c>
      <c r="G93">
        <v>40</v>
      </c>
      <c r="H93">
        <v>6.5771113882548901E-2</v>
      </c>
      <c r="I93">
        <f t="shared" si="12"/>
        <v>7.135402438287225E-2</v>
      </c>
      <c r="J93">
        <v>1600000</v>
      </c>
      <c r="K93">
        <v>1000</v>
      </c>
      <c r="L93">
        <v>18000</v>
      </c>
      <c r="M93">
        <v>5000</v>
      </c>
      <c r="N93" s="19">
        <f t="shared" si="10"/>
        <v>3.0120258623081348E-5</v>
      </c>
      <c r="O93">
        <v>0.58296565349252705</v>
      </c>
      <c r="P93">
        <v>0.03</v>
      </c>
      <c r="Q93" s="2">
        <f t="shared" si="13"/>
        <v>3.8134520000000002E-4</v>
      </c>
      <c r="R93">
        <f t="shared" si="14"/>
        <v>1.9000000000000001E-5</v>
      </c>
      <c r="S93">
        <v>20.070799999999998</v>
      </c>
      <c r="T93" s="19">
        <f t="shared" si="11"/>
        <v>1.6799814476519213E-3</v>
      </c>
    </row>
    <row r="94" spans="1:20" x14ac:dyDescent="0.35">
      <c r="A94" t="s">
        <v>237</v>
      </c>
      <c r="B94">
        <v>64.585262</v>
      </c>
      <c r="C94">
        <v>41.377490999999999</v>
      </c>
      <c r="D94" t="s">
        <v>129</v>
      </c>
      <c r="E94" t="s">
        <v>128</v>
      </c>
      <c r="F94" s="18">
        <f t="shared" si="9"/>
        <v>1.738205085848299E-3</v>
      </c>
      <c r="G94">
        <v>40</v>
      </c>
      <c r="H94">
        <v>9.5200840436603901E-2</v>
      </c>
      <c r="I94">
        <f t="shared" si="12"/>
        <v>9.7774036078966828E-2</v>
      </c>
      <c r="J94">
        <v>1600000</v>
      </c>
      <c r="K94">
        <v>1000</v>
      </c>
      <c r="L94">
        <v>18000</v>
      </c>
      <c r="M94">
        <v>5000</v>
      </c>
      <c r="N94" s="19">
        <f t="shared" si="10"/>
        <v>4.1272784244358297E-5</v>
      </c>
      <c r="O94">
        <v>0.58296565349252705</v>
      </c>
      <c r="P94">
        <v>0.03</v>
      </c>
      <c r="Q94" s="2">
        <f t="shared" si="13"/>
        <v>7.3782320000000004E-4</v>
      </c>
      <c r="R94">
        <f t="shared" si="14"/>
        <v>1.9000000000000001E-5</v>
      </c>
      <c r="S94">
        <v>38.832799999999999</v>
      </c>
      <c r="T94" s="19">
        <f t="shared" si="11"/>
        <v>2.5173010700926574E-3</v>
      </c>
    </row>
    <row r="95" spans="1:20" x14ac:dyDescent="0.35">
      <c r="A95" t="s">
        <v>238</v>
      </c>
      <c r="B95">
        <v>108.277199</v>
      </c>
      <c r="C95">
        <v>14.058324000000001</v>
      </c>
      <c r="D95" t="s">
        <v>129</v>
      </c>
      <c r="E95" t="s">
        <v>128</v>
      </c>
      <c r="F95" s="18">
        <f t="shared" si="9"/>
        <v>1.6203224804694212E-3</v>
      </c>
      <c r="G95">
        <v>40</v>
      </c>
      <c r="H95">
        <v>8.8022781494651106E-2</v>
      </c>
      <c r="I95">
        <f t="shared" si="12"/>
        <v>9.1143139526404945E-2</v>
      </c>
      <c r="J95">
        <v>1600000</v>
      </c>
      <c r="K95">
        <v>1000</v>
      </c>
      <c r="L95">
        <v>18000</v>
      </c>
      <c r="M95">
        <v>5000</v>
      </c>
      <c r="N95" s="19">
        <f t="shared" si="10"/>
        <v>3.847372251247364E-5</v>
      </c>
      <c r="O95">
        <v>0.58296565349252705</v>
      </c>
      <c r="P95">
        <v>0.03</v>
      </c>
      <c r="Q95" s="2">
        <f t="shared" si="13"/>
        <v>1.1654448000000001E-3</v>
      </c>
      <c r="R95">
        <f t="shared" si="14"/>
        <v>1.9000000000000001E-5</v>
      </c>
      <c r="S95">
        <v>61.339199999999998</v>
      </c>
      <c r="T95" s="19">
        <f t="shared" si="11"/>
        <v>2.824241002981895E-3</v>
      </c>
    </row>
    <row r="96" spans="1:20" x14ac:dyDescent="0.35">
      <c r="A96" t="s">
        <v>239</v>
      </c>
      <c r="B96">
        <v>48.516387999999999</v>
      </c>
      <c r="C96">
        <v>15.552727000000001</v>
      </c>
      <c r="D96" t="s">
        <v>129</v>
      </c>
      <c r="E96" t="s">
        <v>128</v>
      </c>
      <c r="F96" s="18">
        <f t="shared" si="9"/>
        <v>3.0489475492174616E-3</v>
      </c>
      <c r="G96">
        <v>40</v>
      </c>
      <c r="H96">
        <v>0.17119490594954001</v>
      </c>
      <c r="I96">
        <f t="shared" si="12"/>
        <v>0.17150329964348221</v>
      </c>
      <c r="J96">
        <v>1600000</v>
      </c>
      <c r="K96">
        <v>1000</v>
      </c>
      <c r="L96">
        <v>18000</v>
      </c>
      <c r="M96">
        <v>5000</v>
      </c>
      <c r="N96" s="19">
        <f t="shared" si="10"/>
        <v>7.2395688745671851E-5</v>
      </c>
      <c r="O96">
        <v>0.58296565349252705</v>
      </c>
      <c r="P96">
        <v>0.03</v>
      </c>
      <c r="Q96" s="2">
        <f t="shared" si="13"/>
        <v>8.0062770000000007E-4</v>
      </c>
      <c r="R96">
        <f t="shared" si="14"/>
        <v>1.9000000000000001E-5</v>
      </c>
      <c r="S96">
        <v>42.138300000000001</v>
      </c>
      <c r="T96" s="19">
        <f t="shared" si="11"/>
        <v>3.9219709379631337E-3</v>
      </c>
    </row>
    <row r="97" spans="1:20" x14ac:dyDescent="0.35">
      <c r="A97" t="s">
        <v>127</v>
      </c>
      <c r="B97">
        <v>20.168330999999998</v>
      </c>
      <c r="C97">
        <v>41.153331999999999</v>
      </c>
      <c r="D97" t="s">
        <v>129</v>
      </c>
      <c r="E97" t="s">
        <v>128</v>
      </c>
      <c r="F97" s="18">
        <f t="shared" si="9"/>
        <v>1.8804548861786079E-3</v>
      </c>
      <c r="G97">
        <v>40</v>
      </c>
      <c r="H97">
        <v>0.103734808821598</v>
      </c>
      <c r="I97">
        <f t="shared" si="12"/>
        <v>0.1057755873475467</v>
      </c>
      <c r="J97">
        <v>1600000</v>
      </c>
      <c r="K97">
        <v>1000</v>
      </c>
      <c r="L97">
        <v>18000</v>
      </c>
      <c r="M97">
        <v>5000</v>
      </c>
      <c r="N97" s="19">
        <f t="shared" si="10"/>
        <v>6.6248575506980742E-5</v>
      </c>
      <c r="O97">
        <v>1.34867197981047</v>
      </c>
      <c r="P97">
        <v>0.03</v>
      </c>
      <c r="Q97" s="2">
        <f t="shared" si="13"/>
        <v>1.0354126000000001E-3</v>
      </c>
      <c r="R97">
        <f t="shared" si="14"/>
        <v>1.9000000000000001E-5</v>
      </c>
      <c r="S97">
        <v>54.495399999999997</v>
      </c>
      <c r="T97" s="19">
        <f t="shared" si="11"/>
        <v>2.9821160616855884E-3</v>
      </c>
    </row>
    <row r="98" spans="1:20" x14ac:dyDescent="0.35">
      <c r="A98" t="s">
        <v>130</v>
      </c>
      <c r="B98">
        <v>45.038189000000003</v>
      </c>
      <c r="C98">
        <v>40.069099000000001</v>
      </c>
      <c r="D98" t="s">
        <v>129</v>
      </c>
      <c r="E98" t="s">
        <v>128</v>
      </c>
      <c r="F98" s="18">
        <f t="shared" ref="F98:F129" si="15">(J98*I98)/(L98*M98)</f>
        <v>1.7208449961553603E-3</v>
      </c>
      <c r="G98">
        <v>40</v>
      </c>
      <c r="H98">
        <v>9.4150346673203295E-2</v>
      </c>
      <c r="I98">
        <f t="shared" si="12"/>
        <v>9.6797531033739018E-2</v>
      </c>
      <c r="J98">
        <v>1600000</v>
      </c>
      <c r="K98">
        <v>1000</v>
      </c>
      <c r="L98">
        <v>18000</v>
      </c>
      <c r="M98">
        <v>5000</v>
      </c>
      <c r="N98" s="19">
        <f t="shared" ref="N98:N129" si="16">P98*F98*0.5*(1+O98)</f>
        <v>6.0625506361007252E-5</v>
      </c>
      <c r="O98">
        <v>1.34867197981047</v>
      </c>
      <c r="P98">
        <v>0.03</v>
      </c>
      <c r="Q98" s="2">
        <f t="shared" si="13"/>
        <v>6.1654050000000001E-4</v>
      </c>
      <c r="R98">
        <f t="shared" si="14"/>
        <v>1.9000000000000001E-5</v>
      </c>
      <c r="S98">
        <v>32.4495</v>
      </c>
      <c r="T98" s="19">
        <f t="shared" ref="T98:T129" si="17">F98+Q98+N98</f>
        <v>2.3980110025163676E-3</v>
      </c>
    </row>
    <row r="99" spans="1:20" x14ac:dyDescent="0.35">
      <c r="A99" t="s">
        <v>131</v>
      </c>
      <c r="B99">
        <v>14.550072</v>
      </c>
      <c r="C99">
        <v>47.516230999999998</v>
      </c>
      <c r="D99" t="s">
        <v>129</v>
      </c>
      <c r="E99" t="s">
        <v>128</v>
      </c>
      <c r="F99" s="18">
        <f t="shared" si="15"/>
        <v>1.2268379858089719E-3</v>
      </c>
      <c r="G99">
        <v>40</v>
      </c>
      <c r="H99">
        <v>6.3022637199976306E-2</v>
      </c>
      <c r="I99">
        <f t="shared" si="12"/>
        <v>6.9009636701754667E-2</v>
      </c>
      <c r="J99">
        <v>1600000</v>
      </c>
      <c r="K99">
        <v>1000</v>
      </c>
      <c r="L99">
        <v>18000</v>
      </c>
      <c r="M99">
        <v>5000</v>
      </c>
      <c r="N99" s="19">
        <f t="shared" si="16"/>
        <v>4.3221600015549715E-5</v>
      </c>
      <c r="O99">
        <v>1.34867197981047</v>
      </c>
      <c r="P99">
        <v>0.03</v>
      </c>
      <c r="Q99" s="2">
        <f t="shared" si="13"/>
        <v>1.4089887000000001E-3</v>
      </c>
      <c r="R99">
        <f t="shared" si="14"/>
        <v>1.9000000000000001E-5</v>
      </c>
      <c r="S99">
        <v>74.157300000000006</v>
      </c>
      <c r="T99" s="19">
        <f t="shared" si="17"/>
        <v>2.6790482858245219E-3</v>
      </c>
    </row>
    <row r="100" spans="1:20" x14ac:dyDescent="0.35">
      <c r="A100" t="s">
        <v>132</v>
      </c>
      <c r="B100">
        <v>47.576926999999998</v>
      </c>
      <c r="C100">
        <v>40.143104999999998</v>
      </c>
      <c r="D100" t="s">
        <v>129</v>
      </c>
      <c r="E100" t="s">
        <v>128</v>
      </c>
      <c r="F100" s="18">
        <f t="shared" si="15"/>
        <v>1.5446789934291071E-3</v>
      </c>
      <c r="G100">
        <v>40</v>
      </c>
      <c r="H100">
        <v>8.3355358532112594E-2</v>
      </c>
      <c r="I100">
        <f t="shared" si="12"/>
        <v>8.688819338038728E-2</v>
      </c>
      <c r="J100">
        <v>1600000</v>
      </c>
      <c r="K100">
        <v>1000</v>
      </c>
      <c r="L100">
        <v>18000</v>
      </c>
      <c r="M100">
        <v>5000</v>
      </c>
      <c r="N100" s="19">
        <f t="shared" si="16"/>
        <v>5.4419164045031772E-5</v>
      </c>
      <c r="O100">
        <v>1.34867197981047</v>
      </c>
      <c r="P100">
        <v>0.03</v>
      </c>
      <c r="Q100" s="2">
        <f t="shared" si="13"/>
        <v>6.3330229999999997E-4</v>
      </c>
      <c r="R100">
        <f t="shared" si="14"/>
        <v>1.9000000000000001E-5</v>
      </c>
      <c r="S100">
        <v>33.331699999999998</v>
      </c>
      <c r="T100" s="19">
        <f t="shared" si="17"/>
        <v>2.2324004574741391E-3</v>
      </c>
    </row>
    <row r="101" spans="1:20" x14ac:dyDescent="0.35">
      <c r="A101" t="s">
        <v>133</v>
      </c>
      <c r="B101">
        <v>4.4699359999999997</v>
      </c>
      <c r="C101">
        <v>50.503886999999999</v>
      </c>
      <c r="D101" t="s">
        <v>129</v>
      </c>
      <c r="E101" t="s">
        <v>128</v>
      </c>
      <c r="F101" s="18">
        <f t="shared" si="15"/>
        <v>1.2507510215597646E-3</v>
      </c>
      <c r="G101">
        <v>40</v>
      </c>
      <c r="H101">
        <v>6.46032306813977E-2</v>
      </c>
      <c r="I101">
        <f t="shared" si="12"/>
        <v>7.0354744962736762E-2</v>
      </c>
      <c r="J101">
        <v>1600000</v>
      </c>
      <c r="K101">
        <v>1000</v>
      </c>
      <c r="L101">
        <v>18000</v>
      </c>
      <c r="M101">
        <v>5000</v>
      </c>
      <c r="N101" s="19">
        <f t="shared" si="16"/>
        <v>4.4064058170851101E-5</v>
      </c>
      <c r="O101">
        <v>1.34867197981047</v>
      </c>
      <c r="P101">
        <v>0.03</v>
      </c>
      <c r="Q101" s="2">
        <f t="shared" si="13"/>
        <v>1.5173248000000001E-3</v>
      </c>
      <c r="R101">
        <f t="shared" si="14"/>
        <v>1.9000000000000001E-5</v>
      </c>
      <c r="S101">
        <v>79.859200000000001</v>
      </c>
      <c r="T101" s="19">
        <f t="shared" si="17"/>
        <v>2.812139879730616E-3</v>
      </c>
    </row>
    <row r="102" spans="1:20" x14ac:dyDescent="0.35">
      <c r="A102" t="s">
        <v>134</v>
      </c>
      <c r="B102">
        <v>25.48583</v>
      </c>
      <c r="C102">
        <v>42.733882999999999</v>
      </c>
      <c r="D102" t="s">
        <v>129</v>
      </c>
      <c r="E102" t="s">
        <v>128</v>
      </c>
      <c r="F102" s="18">
        <f t="shared" si="15"/>
        <v>1.4545778363574654E-3</v>
      </c>
      <c r="G102">
        <v>40</v>
      </c>
      <c r="H102">
        <v>7.77218079817691E-2</v>
      </c>
      <c r="I102">
        <f t="shared" si="12"/>
        <v>8.1820003295107427E-2</v>
      </c>
      <c r="J102">
        <v>1600000</v>
      </c>
      <c r="K102">
        <v>1000</v>
      </c>
      <c r="L102">
        <v>18000</v>
      </c>
      <c r="M102">
        <v>5000</v>
      </c>
      <c r="N102" s="19">
        <f t="shared" si="16"/>
        <v>5.1244893100591765E-5</v>
      </c>
      <c r="O102">
        <v>1.34867197981047</v>
      </c>
      <c r="P102">
        <v>0.03</v>
      </c>
      <c r="Q102" s="2">
        <f t="shared" si="13"/>
        <v>1.0576844000000001E-3</v>
      </c>
      <c r="R102">
        <f t="shared" si="14"/>
        <v>1.9000000000000001E-5</v>
      </c>
      <c r="S102">
        <v>55.6676</v>
      </c>
      <c r="T102" s="19">
        <f t="shared" si="17"/>
        <v>2.5635071294580571E-3</v>
      </c>
    </row>
    <row r="103" spans="1:20" x14ac:dyDescent="0.35">
      <c r="A103" t="s">
        <v>135</v>
      </c>
      <c r="B103">
        <v>17.679075999999998</v>
      </c>
      <c r="C103">
        <v>43.915886</v>
      </c>
      <c r="D103" t="s">
        <v>129</v>
      </c>
      <c r="E103" t="s">
        <v>128</v>
      </c>
      <c r="F103" s="18">
        <f t="shared" si="15"/>
        <v>2.2405201660014354E-3</v>
      </c>
      <c r="G103">
        <v>40</v>
      </c>
      <c r="H103">
        <v>0.124891512094884</v>
      </c>
      <c r="I103">
        <f t="shared" si="12"/>
        <v>0.12602925933758075</v>
      </c>
      <c r="J103">
        <v>1600000</v>
      </c>
      <c r="K103">
        <v>1000</v>
      </c>
      <c r="L103">
        <v>18000</v>
      </c>
      <c r="M103">
        <v>5000</v>
      </c>
      <c r="N103" s="19">
        <f t="shared" si="16"/>
        <v>7.8933704011318112E-5</v>
      </c>
      <c r="O103">
        <v>1.34867197981047</v>
      </c>
      <c r="P103">
        <v>0.03</v>
      </c>
      <c r="Q103" s="2">
        <f t="shared" si="13"/>
        <v>1.0420417000000001E-3</v>
      </c>
      <c r="R103">
        <f t="shared" si="14"/>
        <v>1.9000000000000001E-5</v>
      </c>
      <c r="S103">
        <v>54.844299999999997</v>
      </c>
      <c r="T103" s="19">
        <f t="shared" si="17"/>
        <v>3.3614955700127535E-3</v>
      </c>
    </row>
    <row r="104" spans="1:20" x14ac:dyDescent="0.35">
      <c r="A104" t="s">
        <v>294</v>
      </c>
      <c r="B104">
        <v>27.953389000000001</v>
      </c>
      <c r="C104">
        <v>53.709806999999998</v>
      </c>
      <c r="D104" t="s">
        <v>129</v>
      </c>
      <c r="E104" t="s">
        <v>128</v>
      </c>
      <c r="F104" s="18">
        <f t="shared" si="15"/>
        <v>4.1587192033555433E-3</v>
      </c>
      <c r="G104">
        <v>40</v>
      </c>
      <c r="H104">
        <v>0.23387568839784301</v>
      </c>
      <c r="I104">
        <f t="shared" si="12"/>
        <v>0.23392795518874931</v>
      </c>
      <c r="J104">
        <v>1600000</v>
      </c>
      <c r="K104">
        <v>1000</v>
      </c>
      <c r="L104">
        <v>18000</v>
      </c>
      <c r="M104">
        <v>5000</v>
      </c>
      <c r="N104" s="19">
        <f t="shared" si="16"/>
        <v>1.4651200897231324E-4</v>
      </c>
      <c r="O104">
        <v>1.34867197981047</v>
      </c>
      <c r="P104">
        <v>0.03</v>
      </c>
      <c r="Q104" s="2">
        <f t="shared" si="13"/>
        <v>1.1455727000000001E-3</v>
      </c>
      <c r="R104">
        <f t="shared" si="14"/>
        <v>1.9000000000000001E-5</v>
      </c>
      <c r="S104">
        <v>60.293300000000002</v>
      </c>
      <c r="T104" s="19">
        <f t="shared" si="17"/>
        <v>5.4508039123278562E-3</v>
      </c>
    </row>
    <row r="105" spans="1:20" x14ac:dyDescent="0.35">
      <c r="A105" t="s">
        <v>136</v>
      </c>
      <c r="B105">
        <v>8.2275120000000008</v>
      </c>
      <c r="C105">
        <v>46.818187999999999</v>
      </c>
      <c r="D105" t="s">
        <v>129</v>
      </c>
      <c r="E105" t="s">
        <v>128</v>
      </c>
      <c r="F105" s="18">
        <f t="shared" si="15"/>
        <v>1.2020098734934546E-3</v>
      </c>
      <c r="G105">
        <v>40</v>
      </c>
      <c r="H105">
        <v>6.1370732033405803E-2</v>
      </c>
      <c r="I105">
        <f t="shared" si="12"/>
        <v>6.7613055384006818E-2</v>
      </c>
      <c r="J105">
        <v>1600000</v>
      </c>
      <c r="K105">
        <v>1000</v>
      </c>
      <c r="L105">
        <v>18000</v>
      </c>
      <c r="M105">
        <v>5000</v>
      </c>
      <c r="N105" s="19">
        <f t="shared" si="16"/>
        <v>4.2346903639944065E-5</v>
      </c>
      <c r="O105">
        <v>1.34867197981047</v>
      </c>
      <c r="P105">
        <v>0.03</v>
      </c>
      <c r="Q105" s="2">
        <f t="shared" si="13"/>
        <v>1.6834057000000003E-3</v>
      </c>
      <c r="R105">
        <f t="shared" si="14"/>
        <v>1.9000000000000001E-5</v>
      </c>
      <c r="S105">
        <v>88.600300000000004</v>
      </c>
      <c r="T105" s="19">
        <f t="shared" si="17"/>
        <v>2.9277624771333987E-3</v>
      </c>
    </row>
    <row r="106" spans="1:20" x14ac:dyDescent="0.35">
      <c r="A106" t="s">
        <v>295</v>
      </c>
      <c r="B106">
        <v>33.429859</v>
      </c>
      <c r="C106">
        <v>35.126412999999999</v>
      </c>
      <c r="D106" t="s">
        <v>129</v>
      </c>
      <c r="E106" t="s">
        <v>128</v>
      </c>
      <c r="F106" s="18">
        <f t="shared" si="15"/>
        <v>4.1587192033555433E-3</v>
      </c>
      <c r="G106">
        <v>40</v>
      </c>
      <c r="H106">
        <f>MAX(H$97:H$105,H$107:H$129,H$131:H$135,H$137:H$156)</f>
        <v>0.23387568839784301</v>
      </c>
      <c r="I106">
        <f>((1+H106)^G106*H106)/((1+H106)^G106-1)</f>
        <v>0.23392795518874931</v>
      </c>
      <c r="J106">
        <v>1600000</v>
      </c>
      <c r="K106">
        <v>1000</v>
      </c>
      <c r="L106">
        <v>18000</v>
      </c>
      <c r="M106">
        <v>5000</v>
      </c>
      <c r="N106" s="19">
        <f t="shared" si="16"/>
        <v>1.4651200897231324E-4</v>
      </c>
      <c r="O106">
        <v>1.34867197981047</v>
      </c>
      <c r="P106">
        <v>0.03</v>
      </c>
      <c r="Q106" s="2">
        <f t="shared" si="13"/>
        <v>1.6998179E-3</v>
      </c>
      <c r="R106">
        <f t="shared" si="14"/>
        <v>1.9000000000000001E-5</v>
      </c>
      <c r="S106">
        <f>MAX(S$97:S$105,S$107:S$129,S$131:S$134,S$137:S$156)</f>
        <v>89.464100000000002</v>
      </c>
      <c r="T106" s="19">
        <f t="shared" si="17"/>
        <v>6.0050491123278564E-3</v>
      </c>
    </row>
    <row r="107" spans="1:20" x14ac:dyDescent="0.35">
      <c r="A107" t="s">
        <v>137</v>
      </c>
      <c r="B107">
        <v>15.472962000000001</v>
      </c>
      <c r="C107">
        <v>49.817492000000001</v>
      </c>
      <c r="D107" t="s">
        <v>129</v>
      </c>
      <c r="E107" t="s">
        <v>128</v>
      </c>
      <c r="F107" s="18">
        <f t="shared" si="15"/>
        <v>1.2720785843432225E-3</v>
      </c>
      <c r="G107">
        <v>40</v>
      </c>
      <c r="H107">
        <v>6.6004690522779103E-2</v>
      </c>
      <c r="I107">
        <f t="shared" si="12"/>
        <v>7.155442036930626E-2</v>
      </c>
      <c r="J107">
        <v>1600000</v>
      </c>
      <c r="K107">
        <v>1000</v>
      </c>
      <c r="L107">
        <v>18000</v>
      </c>
      <c r="M107">
        <v>5000</v>
      </c>
      <c r="N107" s="19">
        <f t="shared" si="16"/>
        <v>4.4815429907458445E-5</v>
      </c>
      <c r="O107">
        <v>1.34867197981047</v>
      </c>
      <c r="P107">
        <v>0.03</v>
      </c>
      <c r="Q107" s="2">
        <f t="shared" si="13"/>
        <v>1.2021338E-3</v>
      </c>
      <c r="R107">
        <f t="shared" si="14"/>
        <v>1.9000000000000001E-5</v>
      </c>
      <c r="S107">
        <v>63.270200000000003</v>
      </c>
      <c r="T107" s="19">
        <f t="shared" si="17"/>
        <v>2.5190278142506808E-3</v>
      </c>
    </row>
    <row r="108" spans="1:20" x14ac:dyDescent="0.35">
      <c r="A108" t="s">
        <v>138</v>
      </c>
      <c r="B108">
        <v>9.2345130480234907</v>
      </c>
      <c r="C108">
        <v>52.190327993345299</v>
      </c>
      <c r="D108" t="s">
        <v>129</v>
      </c>
      <c r="E108" t="s">
        <v>128</v>
      </c>
      <c r="F108" s="18">
        <f t="shared" si="15"/>
        <v>1.1538476542416235E-3</v>
      </c>
      <c r="G108">
        <v>40</v>
      </c>
      <c r="H108">
        <v>5.8132742652375599E-2</v>
      </c>
      <c r="I108">
        <f t="shared" si="12"/>
        <v>6.4903930551091324E-2</v>
      </c>
      <c r="J108">
        <v>1600000</v>
      </c>
      <c r="K108">
        <v>1000</v>
      </c>
      <c r="L108">
        <v>18000</v>
      </c>
      <c r="M108">
        <v>5000</v>
      </c>
      <c r="N108" s="19">
        <f t="shared" si="16"/>
        <v>4.0650144817310106E-5</v>
      </c>
      <c r="O108">
        <v>1.34867197981047</v>
      </c>
      <c r="P108">
        <v>0.03</v>
      </c>
      <c r="Q108" s="2">
        <f t="shared" si="13"/>
        <v>1.5401684999999999E-3</v>
      </c>
      <c r="R108">
        <f t="shared" si="14"/>
        <v>1.9000000000000001E-5</v>
      </c>
      <c r="S108">
        <v>81.061499999999995</v>
      </c>
      <c r="T108" s="19">
        <f t="shared" si="17"/>
        <v>2.7346662990589336E-3</v>
      </c>
    </row>
    <row r="109" spans="1:20" x14ac:dyDescent="0.35">
      <c r="A109" t="s">
        <v>139</v>
      </c>
      <c r="B109">
        <v>11.753428913633</v>
      </c>
      <c r="C109">
        <v>55.449467462219502</v>
      </c>
      <c r="D109" t="s">
        <v>129</v>
      </c>
      <c r="E109" t="s">
        <v>128</v>
      </c>
      <c r="F109" s="18">
        <f t="shared" si="15"/>
        <v>1.1787819932075696E-3</v>
      </c>
      <c r="G109">
        <v>40</v>
      </c>
      <c r="H109">
        <v>5.9814815058105597E-2</v>
      </c>
      <c r="I109">
        <f t="shared" si="12"/>
        <v>6.6306487117925791E-2</v>
      </c>
      <c r="J109">
        <v>1600000</v>
      </c>
      <c r="K109">
        <v>1000</v>
      </c>
      <c r="L109">
        <v>18000</v>
      </c>
      <c r="M109">
        <v>5000</v>
      </c>
      <c r="N109" s="19">
        <f t="shared" si="16"/>
        <v>4.1528583566276316E-5</v>
      </c>
      <c r="O109">
        <v>1.34867197981047</v>
      </c>
      <c r="P109">
        <v>0.03</v>
      </c>
      <c r="Q109" s="2">
        <f t="shared" si="13"/>
        <v>1.2299821000000002E-3</v>
      </c>
      <c r="R109">
        <f t="shared" si="14"/>
        <v>1.9000000000000001E-5</v>
      </c>
      <c r="S109">
        <v>64.735900000000001</v>
      </c>
      <c r="T109" s="19">
        <f t="shared" si="17"/>
        <v>2.4502926767738463E-3</v>
      </c>
    </row>
    <row r="110" spans="1:20" x14ac:dyDescent="0.35">
      <c r="A110" t="s">
        <v>296</v>
      </c>
      <c r="B110">
        <v>8.9730720935565493</v>
      </c>
      <c r="C110">
        <v>56.125650467195797</v>
      </c>
      <c r="D110" t="s">
        <v>129</v>
      </c>
      <c r="E110" t="s">
        <v>128</v>
      </c>
      <c r="F110" s="18">
        <f t="shared" si="15"/>
        <v>1.1787819932075696E-3</v>
      </c>
      <c r="G110">
        <v>40</v>
      </c>
      <c r="H110">
        <v>5.9814815058105597E-2</v>
      </c>
      <c r="I110">
        <f t="shared" si="12"/>
        <v>6.6306487117925791E-2</v>
      </c>
      <c r="J110">
        <v>1600000</v>
      </c>
      <c r="K110">
        <v>1000</v>
      </c>
      <c r="L110">
        <v>18000</v>
      </c>
      <c r="M110">
        <v>5000</v>
      </c>
      <c r="N110" s="19">
        <f t="shared" si="16"/>
        <v>4.1528583566276316E-5</v>
      </c>
      <c r="O110">
        <v>1.34867197981047</v>
      </c>
      <c r="P110">
        <v>0.03</v>
      </c>
      <c r="Q110" s="2">
        <f t="shared" si="13"/>
        <v>1.2299821000000002E-3</v>
      </c>
      <c r="R110">
        <f t="shared" si="14"/>
        <v>1.9000000000000001E-5</v>
      </c>
      <c r="S110">
        <v>64.735900000000001</v>
      </c>
      <c r="T110" s="19">
        <f t="shared" si="17"/>
        <v>2.4502926767738463E-3</v>
      </c>
    </row>
    <row r="111" spans="1:20" x14ac:dyDescent="0.35">
      <c r="A111" t="s">
        <v>297</v>
      </c>
      <c r="B111">
        <v>12.3149524772105</v>
      </c>
      <c r="C111">
        <v>55.688446229770001</v>
      </c>
      <c r="D111" t="s">
        <v>129</v>
      </c>
      <c r="E111" t="s">
        <v>128</v>
      </c>
      <c r="F111" s="18">
        <f t="shared" si="15"/>
        <v>1.1787819932075696E-3</v>
      </c>
      <c r="G111">
        <v>40</v>
      </c>
      <c r="H111">
        <v>5.9814815058105597E-2</v>
      </c>
      <c r="I111">
        <f t="shared" si="12"/>
        <v>6.6306487117925791E-2</v>
      </c>
      <c r="J111">
        <v>1600000</v>
      </c>
      <c r="K111">
        <v>1000</v>
      </c>
      <c r="L111">
        <v>18000</v>
      </c>
      <c r="M111">
        <v>5000</v>
      </c>
      <c r="N111" s="19">
        <f t="shared" si="16"/>
        <v>4.1528583566276316E-5</v>
      </c>
      <c r="O111">
        <v>1.34867197981047</v>
      </c>
      <c r="P111">
        <v>0.03</v>
      </c>
      <c r="Q111" s="2">
        <f t="shared" si="13"/>
        <v>1.2299821000000002E-3</v>
      </c>
      <c r="R111">
        <f t="shared" si="14"/>
        <v>1.9000000000000001E-5</v>
      </c>
      <c r="S111">
        <v>64.735900000000001</v>
      </c>
      <c r="T111" s="19">
        <f t="shared" si="17"/>
        <v>2.4502926767738463E-3</v>
      </c>
    </row>
    <row r="112" spans="1:20" x14ac:dyDescent="0.35">
      <c r="A112" t="s">
        <v>140</v>
      </c>
      <c r="B112">
        <v>-3.7492200000000002</v>
      </c>
      <c r="C112">
        <v>40.463667000000001</v>
      </c>
      <c r="D112" t="s">
        <v>129</v>
      </c>
      <c r="E112" t="s">
        <v>128</v>
      </c>
      <c r="F112" s="18">
        <f t="shared" si="15"/>
        <v>1.3901263948966915E-3</v>
      </c>
      <c r="G112">
        <v>40</v>
      </c>
      <c r="H112">
        <v>7.3635218640465794E-2</v>
      </c>
      <c r="I112">
        <f t="shared" si="12"/>
        <v>7.8194609712938901E-2</v>
      </c>
      <c r="J112">
        <v>1600000</v>
      </c>
      <c r="K112">
        <v>1000</v>
      </c>
      <c r="L112">
        <v>18000</v>
      </c>
      <c r="M112">
        <v>5000</v>
      </c>
      <c r="N112" s="19">
        <f t="shared" si="16"/>
        <v>4.8974263681332054E-5</v>
      </c>
      <c r="O112">
        <v>1.34867197981047</v>
      </c>
      <c r="P112">
        <v>0.03</v>
      </c>
      <c r="Q112" s="2">
        <f t="shared" si="13"/>
        <v>1.2168284E-3</v>
      </c>
      <c r="R112">
        <f t="shared" si="14"/>
        <v>1.9000000000000001E-5</v>
      </c>
      <c r="S112">
        <v>64.043599999999998</v>
      </c>
      <c r="T112" s="19">
        <f t="shared" si="17"/>
        <v>2.655929058578024E-3</v>
      </c>
    </row>
    <row r="113" spans="1:20" x14ac:dyDescent="0.35">
      <c r="A113" t="s">
        <v>141</v>
      </c>
      <c r="B113">
        <v>25.013607</v>
      </c>
      <c r="C113">
        <v>58.595272000000001</v>
      </c>
      <c r="D113" t="s">
        <v>129</v>
      </c>
      <c r="E113" t="s">
        <v>128</v>
      </c>
      <c r="F113" s="18">
        <f t="shared" si="15"/>
        <v>1.2834370783904947E-3</v>
      </c>
      <c r="G113">
        <v>40</v>
      </c>
      <c r="H113">
        <v>6.6748016363080198E-2</v>
      </c>
      <c r="I113">
        <f t="shared" si="12"/>
        <v>7.2193335659465327E-2</v>
      </c>
      <c r="J113">
        <v>1600000</v>
      </c>
      <c r="K113">
        <v>1000</v>
      </c>
      <c r="L113">
        <v>18000</v>
      </c>
      <c r="M113">
        <v>5000</v>
      </c>
      <c r="N113" s="19">
        <f t="shared" si="16"/>
        <v>4.5215590557983531E-5</v>
      </c>
      <c r="O113">
        <v>1.34867197981047</v>
      </c>
      <c r="P113">
        <v>0.03</v>
      </c>
      <c r="Q113" s="2">
        <f t="shared" si="13"/>
        <v>1.0707051E-3</v>
      </c>
      <c r="R113">
        <f t="shared" si="14"/>
        <v>1.9000000000000001E-5</v>
      </c>
      <c r="S113">
        <v>56.352899999999998</v>
      </c>
      <c r="T113" s="19">
        <f t="shared" si="17"/>
        <v>2.3993577689484782E-3</v>
      </c>
    </row>
    <row r="114" spans="1:20" x14ac:dyDescent="0.35">
      <c r="A114" t="s">
        <v>142</v>
      </c>
      <c r="B114">
        <v>25.748151</v>
      </c>
      <c r="C114">
        <v>61.924109999999999</v>
      </c>
      <c r="D114" t="s">
        <v>129</v>
      </c>
      <c r="E114" t="s">
        <v>128</v>
      </c>
      <c r="F114" s="18">
        <f t="shared" si="15"/>
        <v>1.2404844008800538E-3</v>
      </c>
      <c r="G114">
        <v>40</v>
      </c>
      <c r="H114">
        <v>6.3925853641545294E-2</v>
      </c>
      <c r="I114">
        <f t="shared" si="12"/>
        <v>6.9777247549503027E-2</v>
      </c>
      <c r="J114">
        <v>1600000</v>
      </c>
      <c r="K114">
        <v>1000</v>
      </c>
      <c r="L114">
        <v>18000</v>
      </c>
      <c r="M114">
        <v>5000</v>
      </c>
      <c r="N114" s="19">
        <f t="shared" si="16"/>
        <v>4.3702364306084407E-5</v>
      </c>
      <c r="O114">
        <v>1.34867197981047</v>
      </c>
      <c r="P114">
        <v>0.03</v>
      </c>
      <c r="Q114" s="2">
        <f t="shared" si="13"/>
        <v>1.1118154000000001E-3</v>
      </c>
      <c r="R114">
        <f t="shared" si="14"/>
        <v>1.9000000000000001E-5</v>
      </c>
      <c r="S114">
        <v>58.516599999999997</v>
      </c>
      <c r="T114" s="19">
        <f t="shared" si="17"/>
        <v>2.3960021651861381E-3</v>
      </c>
    </row>
    <row r="115" spans="1:20" x14ac:dyDescent="0.35">
      <c r="A115" t="s">
        <v>143</v>
      </c>
      <c r="B115">
        <v>2.213749</v>
      </c>
      <c r="C115">
        <v>46.227637999999999</v>
      </c>
      <c r="D115" t="s">
        <v>129</v>
      </c>
      <c r="E115" t="s">
        <v>128</v>
      </c>
      <c r="F115" s="18">
        <f t="shared" si="15"/>
        <v>1.2362645250341422E-3</v>
      </c>
      <c r="G115">
        <v>40</v>
      </c>
      <c r="H115">
        <v>6.3646902544555198E-2</v>
      </c>
      <c r="I115">
        <f t="shared" si="12"/>
        <v>6.9539879533170493E-2</v>
      </c>
      <c r="J115">
        <v>1600000</v>
      </c>
      <c r="K115">
        <v>1000</v>
      </c>
      <c r="L115">
        <v>18000</v>
      </c>
      <c r="M115">
        <v>5000</v>
      </c>
      <c r="N115" s="19">
        <f t="shared" si="16"/>
        <v>4.3553697743720841E-5</v>
      </c>
      <c r="O115">
        <v>1.34867197981047</v>
      </c>
      <c r="P115">
        <v>0.03</v>
      </c>
      <c r="Q115" s="2">
        <f t="shared" si="13"/>
        <v>1.1388619E-3</v>
      </c>
      <c r="R115">
        <f t="shared" si="14"/>
        <v>1.9000000000000001E-5</v>
      </c>
      <c r="S115">
        <v>59.940100000000001</v>
      </c>
      <c r="T115" s="19">
        <f t="shared" si="17"/>
        <v>2.4186801227778633E-3</v>
      </c>
    </row>
    <row r="116" spans="1:20" x14ac:dyDescent="0.35">
      <c r="A116" t="s">
        <v>144</v>
      </c>
      <c r="B116">
        <v>-0.77974118041876805</v>
      </c>
      <c r="C116">
        <v>53</v>
      </c>
      <c r="D116" t="s">
        <v>129</v>
      </c>
      <c r="E116" t="s">
        <v>128</v>
      </c>
      <c r="F116" s="18">
        <f t="shared" si="15"/>
        <v>1.2507510215597646E-3</v>
      </c>
      <c r="G116">
        <v>40</v>
      </c>
      <c r="H116">
        <v>6.46032306813977E-2</v>
      </c>
      <c r="I116">
        <f t="shared" si="12"/>
        <v>7.0354744962736762E-2</v>
      </c>
      <c r="J116">
        <v>1600000</v>
      </c>
      <c r="K116">
        <v>1000</v>
      </c>
      <c r="L116">
        <v>18000</v>
      </c>
      <c r="M116">
        <v>5000</v>
      </c>
      <c r="N116" s="19">
        <f t="shared" si="16"/>
        <v>4.4064058170851101E-5</v>
      </c>
      <c r="O116">
        <v>1.34867197981047</v>
      </c>
      <c r="P116">
        <v>0.03</v>
      </c>
      <c r="Q116" s="2">
        <f t="shared" si="13"/>
        <v>1.1797081E-3</v>
      </c>
      <c r="R116">
        <f t="shared" si="14"/>
        <v>1.9000000000000001E-5</v>
      </c>
      <c r="S116">
        <v>62.0899</v>
      </c>
      <c r="T116" s="19">
        <f t="shared" si="17"/>
        <v>2.474523179730616E-3</v>
      </c>
    </row>
    <row r="117" spans="1:20" x14ac:dyDescent="0.35">
      <c r="A117" t="s">
        <v>145</v>
      </c>
      <c r="B117">
        <v>43.356892000000002</v>
      </c>
      <c r="C117">
        <v>42.315407</v>
      </c>
      <c r="D117" t="s">
        <v>129</v>
      </c>
      <c r="E117" t="s">
        <v>128</v>
      </c>
      <c r="F117" s="18">
        <f t="shared" si="15"/>
        <v>1.6470407839884486E-3</v>
      </c>
      <c r="G117">
        <v>40</v>
      </c>
      <c r="H117">
        <v>8.9659302524269804E-2</v>
      </c>
      <c r="I117">
        <f t="shared" si="12"/>
        <v>9.2646044099350233E-2</v>
      </c>
      <c r="J117">
        <v>1600000</v>
      </c>
      <c r="K117">
        <v>1000</v>
      </c>
      <c r="L117">
        <v>18000</v>
      </c>
      <c r="M117">
        <v>5000</v>
      </c>
      <c r="N117" s="19">
        <f t="shared" si="16"/>
        <v>5.8025378084381071E-5</v>
      </c>
      <c r="O117">
        <v>1.34867197981047</v>
      </c>
      <c r="P117">
        <v>0.03</v>
      </c>
      <c r="Q117" s="2">
        <f t="shared" si="13"/>
        <v>6.1684070000000003E-4</v>
      </c>
      <c r="R117">
        <f t="shared" si="14"/>
        <v>1.9000000000000001E-5</v>
      </c>
      <c r="S117">
        <v>32.465299999999999</v>
      </c>
      <c r="T117" s="19">
        <f t="shared" si="17"/>
        <v>2.3219068620728301E-3</v>
      </c>
    </row>
    <row r="118" spans="1:20" x14ac:dyDescent="0.35">
      <c r="A118" t="s">
        <v>146</v>
      </c>
      <c r="B118">
        <v>21.824311999999999</v>
      </c>
      <c r="C118">
        <v>39.074207999999999</v>
      </c>
      <c r="D118" t="s">
        <v>129</v>
      </c>
      <c r="E118" t="s">
        <v>128</v>
      </c>
      <c r="F118" s="18">
        <f t="shared" si="15"/>
        <v>1.5347720224146036E-3</v>
      </c>
      <c r="G118">
        <v>40</v>
      </c>
      <c r="H118">
        <v>8.2740069977092698E-2</v>
      </c>
      <c r="I118">
        <f t="shared" si="12"/>
        <v>8.633092626082145E-2</v>
      </c>
      <c r="J118">
        <v>1600000</v>
      </c>
      <c r="K118">
        <v>1000</v>
      </c>
      <c r="L118">
        <v>18000</v>
      </c>
      <c r="M118">
        <v>5000</v>
      </c>
      <c r="N118" s="19">
        <f t="shared" si="16"/>
        <v>5.4070140666633393E-5</v>
      </c>
      <c r="O118">
        <v>1.34867197981047</v>
      </c>
      <c r="P118">
        <v>0.03</v>
      </c>
      <c r="Q118" s="2">
        <f t="shared" si="13"/>
        <v>1.0393722000000001E-3</v>
      </c>
      <c r="R118">
        <f t="shared" si="14"/>
        <v>1.9000000000000001E-5</v>
      </c>
      <c r="S118">
        <v>54.703800000000001</v>
      </c>
      <c r="T118" s="19">
        <f t="shared" si="17"/>
        <v>2.6282143630812372E-3</v>
      </c>
    </row>
    <row r="119" spans="1:20" x14ac:dyDescent="0.35">
      <c r="A119" t="s">
        <v>147</v>
      </c>
      <c r="B119">
        <v>15.2</v>
      </c>
      <c r="C119">
        <v>45.1</v>
      </c>
      <c r="D119" t="s">
        <v>129</v>
      </c>
      <c r="E119" t="s">
        <v>128</v>
      </c>
      <c r="F119" s="18">
        <f t="shared" si="15"/>
        <v>1.4651631781429301E-3</v>
      </c>
      <c r="G119">
        <v>40</v>
      </c>
      <c r="H119">
        <v>7.8388231185093804E-2</v>
      </c>
      <c r="I119">
        <f t="shared" si="12"/>
        <v>8.2415428770539811E-2</v>
      </c>
      <c r="J119">
        <v>1600000</v>
      </c>
      <c r="K119">
        <v>1000</v>
      </c>
      <c r="L119">
        <v>18000</v>
      </c>
      <c r="M119">
        <v>5000</v>
      </c>
      <c r="N119" s="19">
        <f t="shared" si="16"/>
        <v>5.1617815535315336E-5</v>
      </c>
      <c r="O119">
        <v>1.34867197981047</v>
      </c>
      <c r="P119">
        <v>0.03</v>
      </c>
      <c r="Q119" s="2">
        <f t="shared" si="13"/>
        <v>1.0951923000000001E-3</v>
      </c>
      <c r="R119">
        <f t="shared" si="14"/>
        <v>1.9000000000000001E-5</v>
      </c>
      <c r="S119">
        <v>57.6417</v>
      </c>
      <c r="T119" s="19">
        <f t="shared" si="17"/>
        <v>2.6119732936782454E-3</v>
      </c>
    </row>
    <row r="120" spans="1:20" x14ac:dyDescent="0.35">
      <c r="A120" t="s">
        <v>148</v>
      </c>
      <c r="B120">
        <v>19.503304</v>
      </c>
      <c r="C120">
        <v>47.162494000000002</v>
      </c>
      <c r="D120" t="s">
        <v>129</v>
      </c>
      <c r="E120" t="s">
        <v>128</v>
      </c>
      <c r="F120" s="18">
        <f t="shared" si="15"/>
        <v>1.5059944896307399E-3</v>
      </c>
      <c r="G120">
        <v>40</v>
      </c>
      <c r="H120">
        <v>8.0947171377057703E-2</v>
      </c>
      <c r="I120">
        <f t="shared" si="12"/>
        <v>8.4712190041729127E-2</v>
      </c>
      <c r="J120">
        <v>1600000</v>
      </c>
      <c r="K120">
        <v>1000</v>
      </c>
      <c r="L120">
        <v>18000</v>
      </c>
      <c r="M120">
        <v>5000</v>
      </c>
      <c r="N120" s="19">
        <f t="shared" si="16"/>
        <v>5.3056305893170326E-5</v>
      </c>
      <c r="O120">
        <v>1.34867197981047</v>
      </c>
      <c r="P120">
        <v>0.03</v>
      </c>
      <c r="Q120" s="2">
        <f t="shared" si="13"/>
        <v>1.1710004000000001E-3</v>
      </c>
      <c r="R120">
        <f t="shared" si="14"/>
        <v>1.9000000000000001E-5</v>
      </c>
      <c r="S120">
        <v>61.631599999999999</v>
      </c>
      <c r="T120" s="19">
        <f t="shared" si="17"/>
        <v>2.7300511955239103E-3</v>
      </c>
    </row>
    <row r="121" spans="1:20" x14ac:dyDescent="0.35">
      <c r="A121" t="s">
        <v>149</v>
      </c>
      <c r="B121">
        <v>-8.2438900000000004</v>
      </c>
      <c r="C121">
        <v>53.412909999999997</v>
      </c>
      <c r="D121" t="s">
        <v>129</v>
      </c>
      <c r="E121" t="s">
        <v>128</v>
      </c>
      <c r="F121" s="18">
        <f t="shared" si="15"/>
        <v>1.2953120750596073E-3</v>
      </c>
      <c r="G121">
        <v>40</v>
      </c>
      <c r="H121">
        <v>6.7522938684275696E-2</v>
      </c>
      <c r="I121">
        <f t="shared" si="12"/>
        <v>7.2861304222102907E-2</v>
      </c>
      <c r="J121">
        <v>1600000</v>
      </c>
      <c r="K121">
        <v>1000</v>
      </c>
      <c r="L121">
        <v>18000</v>
      </c>
      <c r="M121">
        <v>5000</v>
      </c>
      <c r="N121" s="19">
        <f t="shared" si="16"/>
        <v>4.5633947637039831E-5</v>
      </c>
      <c r="O121">
        <v>1.34867197981047</v>
      </c>
      <c r="P121">
        <v>0.03</v>
      </c>
      <c r="Q121" s="2">
        <f t="shared" si="13"/>
        <v>1.1886324000000001E-3</v>
      </c>
      <c r="R121">
        <f t="shared" si="14"/>
        <v>1.9000000000000001E-5</v>
      </c>
      <c r="S121">
        <v>62.559600000000003</v>
      </c>
      <c r="T121" s="19">
        <f t="shared" si="17"/>
        <v>2.529578422696647E-3</v>
      </c>
    </row>
    <row r="122" spans="1:20" x14ac:dyDescent="0.35">
      <c r="A122" t="s">
        <v>150</v>
      </c>
      <c r="B122">
        <v>-19.020835000000002</v>
      </c>
      <c r="C122">
        <v>64.963050999999993</v>
      </c>
      <c r="D122" t="s">
        <v>129</v>
      </c>
      <c r="E122" t="s">
        <v>128</v>
      </c>
      <c r="F122" s="18">
        <f t="shared" si="15"/>
        <v>1.3034167243993777E-3</v>
      </c>
      <c r="G122">
        <v>40</v>
      </c>
      <c r="H122">
        <v>6.8050553003788594E-2</v>
      </c>
      <c r="I122">
        <f t="shared" si="12"/>
        <v>7.3317190747464997E-2</v>
      </c>
      <c r="J122">
        <v>1600000</v>
      </c>
      <c r="K122">
        <v>1000</v>
      </c>
      <c r="L122">
        <v>18000</v>
      </c>
      <c r="M122">
        <v>5000</v>
      </c>
      <c r="N122" s="19">
        <f t="shared" si="16"/>
        <v>4.5919475079197457E-5</v>
      </c>
      <c r="O122">
        <v>1.34867197981047</v>
      </c>
      <c r="P122">
        <v>0.03</v>
      </c>
      <c r="Q122" s="2">
        <f t="shared" si="13"/>
        <v>8.4232510000000014E-4</v>
      </c>
      <c r="R122">
        <f t="shared" si="14"/>
        <v>1.9000000000000001E-5</v>
      </c>
      <c r="S122">
        <v>44.332900000000002</v>
      </c>
      <c r="T122" s="19">
        <f t="shared" si="17"/>
        <v>2.1916612994785753E-3</v>
      </c>
    </row>
    <row r="123" spans="1:20" x14ac:dyDescent="0.35">
      <c r="A123" t="s">
        <v>151</v>
      </c>
      <c r="B123">
        <v>12.36920510485286</v>
      </c>
      <c r="C123">
        <v>41.716605451699031</v>
      </c>
      <c r="D123" t="s">
        <v>129</v>
      </c>
      <c r="E123" t="s">
        <v>128</v>
      </c>
      <c r="F123" s="18">
        <f t="shared" si="15"/>
        <v>1.4804780160779826E-3</v>
      </c>
      <c r="G123">
        <v>40</v>
      </c>
      <c r="H123">
        <v>7.9350168294840803E-2</v>
      </c>
      <c r="I123">
        <f t="shared" si="12"/>
        <v>8.3276888404386518E-2</v>
      </c>
      <c r="J123">
        <v>1600000</v>
      </c>
      <c r="K123">
        <v>1000</v>
      </c>
      <c r="L123">
        <v>18000</v>
      </c>
      <c r="M123">
        <v>5000</v>
      </c>
      <c r="N123" s="19">
        <f t="shared" si="16"/>
        <v>5.2157358496316287E-5</v>
      </c>
      <c r="O123">
        <v>1.34867197981047</v>
      </c>
      <c r="P123">
        <v>0.03</v>
      </c>
      <c r="Q123" s="2">
        <f t="shared" si="13"/>
        <v>1.6998179E-3</v>
      </c>
      <c r="R123">
        <f t="shared" si="14"/>
        <v>1.9000000000000001E-5</v>
      </c>
      <c r="S123">
        <v>89.464100000000002</v>
      </c>
      <c r="T123" s="19">
        <f t="shared" si="17"/>
        <v>3.2324532745742988E-3</v>
      </c>
    </row>
    <row r="124" spans="1:20" x14ac:dyDescent="0.35">
      <c r="A124" t="s">
        <v>298</v>
      </c>
      <c r="B124">
        <v>10.366451295361699</v>
      </c>
      <c r="C124">
        <v>45.543946147049503</v>
      </c>
      <c r="D124" t="s">
        <v>129</v>
      </c>
      <c r="E124" t="s">
        <v>128</v>
      </c>
      <c r="F124" s="18">
        <f t="shared" si="15"/>
        <v>1.4804780160779826E-3</v>
      </c>
      <c r="G124">
        <v>40</v>
      </c>
      <c r="H124">
        <v>7.9350168294840803E-2</v>
      </c>
      <c r="I124">
        <f t="shared" si="12"/>
        <v>8.3276888404386518E-2</v>
      </c>
      <c r="J124">
        <v>1600000</v>
      </c>
      <c r="K124">
        <v>1000</v>
      </c>
      <c r="L124">
        <v>18000</v>
      </c>
      <c r="M124">
        <v>5000</v>
      </c>
      <c r="N124" s="19">
        <f t="shared" si="16"/>
        <v>5.2157358496316287E-5</v>
      </c>
      <c r="O124">
        <v>1.34867197981047</v>
      </c>
      <c r="P124">
        <v>0.03</v>
      </c>
      <c r="Q124" s="2">
        <f t="shared" si="13"/>
        <v>1.6998179E-3</v>
      </c>
      <c r="R124">
        <f t="shared" si="14"/>
        <v>1.9000000000000001E-5</v>
      </c>
      <c r="S124">
        <v>89.464100000000002</v>
      </c>
      <c r="T124" s="19">
        <f t="shared" si="17"/>
        <v>3.2324532745742988E-3</v>
      </c>
    </row>
    <row r="125" spans="1:20" x14ac:dyDescent="0.35">
      <c r="A125" t="s">
        <v>299</v>
      </c>
      <c r="B125">
        <v>11.430959434426599</v>
      </c>
      <c r="C125">
        <v>43.886171790874599</v>
      </c>
      <c r="D125" t="s">
        <v>129</v>
      </c>
      <c r="E125" t="s">
        <v>128</v>
      </c>
      <c r="F125" s="18">
        <f t="shared" si="15"/>
        <v>1.4804780160779826E-3</v>
      </c>
      <c r="G125">
        <v>40</v>
      </c>
      <c r="H125">
        <v>7.9350168294840803E-2</v>
      </c>
      <c r="I125">
        <f t="shared" si="12"/>
        <v>8.3276888404386518E-2</v>
      </c>
      <c r="J125">
        <v>1600000</v>
      </c>
      <c r="K125">
        <v>1000</v>
      </c>
      <c r="L125">
        <v>18000</v>
      </c>
      <c r="M125">
        <v>5000</v>
      </c>
      <c r="N125" s="19">
        <f t="shared" si="16"/>
        <v>5.2157358496316287E-5</v>
      </c>
      <c r="O125">
        <v>1.34867197981047</v>
      </c>
      <c r="P125">
        <v>0.03</v>
      </c>
      <c r="Q125" s="2">
        <f t="shared" si="13"/>
        <v>1.6998179E-3</v>
      </c>
      <c r="R125">
        <f t="shared" si="14"/>
        <v>1.9000000000000001E-5</v>
      </c>
      <c r="S125">
        <v>89.464100000000002</v>
      </c>
      <c r="T125" s="19">
        <f t="shared" si="17"/>
        <v>3.2324532745742988E-3</v>
      </c>
    </row>
    <row r="126" spans="1:20" x14ac:dyDescent="0.35">
      <c r="A126" t="s">
        <v>300</v>
      </c>
      <c r="B126">
        <v>12.4624359805309</v>
      </c>
      <c r="C126">
        <v>42.461740125399203</v>
      </c>
      <c r="D126" t="s">
        <v>129</v>
      </c>
      <c r="E126" t="s">
        <v>128</v>
      </c>
      <c r="F126" s="18">
        <f t="shared" si="15"/>
        <v>1.4804780160779826E-3</v>
      </c>
      <c r="G126">
        <v>40</v>
      </c>
      <c r="H126">
        <v>7.9350168294840803E-2</v>
      </c>
      <c r="I126">
        <f t="shared" si="12"/>
        <v>8.3276888404386518E-2</v>
      </c>
      <c r="J126">
        <v>1600000</v>
      </c>
      <c r="K126">
        <v>1000</v>
      </c>
      <c r="L126">
        <v>18000</v>
      </c>
      <c r="M126">
        <v>5000</v>
      </c>
      <c r="N126" s="19">
        <f t="shared" si="16"/>
        <v>5.2157358496316287E-5</v>
      </c>
      <c r="O126">
        <v>1.34867197981047</v>
      </c>
      <c r="P126">
        <v>0.03</v>
      </c>
      <c r="Q126" s="2">
        <f t="shared" si="13"/>
        <v>1.6998179E-3</v>
      </c>
      <c r="R126">
        <f t="shared" si="14"/>
        <v>1.9000000000000001E-5</v>
      </c>
      <c r="S126">
        <v>89.464100000000002</v>
      </c>
      <c r="T126" s="19">
        <f t="shared" si="17"/>
        <v>3.2324532745742988E-3</v>
      </c>
    </row>
    <row r="127" spans="1:20" x14ac:dyDescent="0.35">
      <c r="A127" t="s">
        <v>301</v>
      </c>
      <c r="B127">
        <v>16.697371135244101</v>
      </c>
      <c r="C127">
        <v>40.856714979440298</v>
      </c>
      <c r="D127" t="s">
        <v>129</v>
      </c>
      <c r="E127" t="s">
        <v>128</v>
      </c>
      <c r="F127" s="18">
        <f t="shared" si="15"/>
        <v>1.4804780160779826E-3</v>
      </c>
      <c r="G127">
        <v>40</v>
      </c>
      <c r="H127">
        <v>7.9350168294840803E-2</v>
      </c>
      <c r="I127">
        <f t="shared" si="12"/>
        <v>8.3276888404386518E-2</v>
      </c>
      <c r="J127">
        <v>1600000</v>
      </c>
      <c r="K127">
        <v>1000</v>
      </c>
      <c r="L127">
        <v>18000</v>
      </c>
      <c r="M127">
        <v>5000</v>
      </c>
      <c r="N127" s="19">
        <f t="shared" si="16"/>
        <v>5.2157358496316287E-5</v>
      </c>
      <c r="O127">
        <v>1.34867197981047</v>
      </c>
      <c r="P127">
        <v>0.03</v>
      </c>
      <c r="Q127" s="2">
        <f t="shared" si="13"/>
        <v>1.6998179E-3</v>
      </c>
      <c r="R127">
        <f t="shared" si="14"/>
        <v>1.9000000000000001E-5</v>
      </c>
      <c r="S127">
        <v>89.464100000000002</v>
      </c>
      <c r="T127" s="19">
        <f t="shared" si="17"/>
        <v>3.2324532745742988E-3</v>
      </c>
    </row>
    <row r="128" spans="1:20" x14ac:dyDescent="0.35">
      <c r="A128" t="s">
        <v>302</v>
      </c>
      <c r="B128">
        <v>9.0081865912375694</v>
      </c>
      <c r="C128">
        <v>40.006668801798902</v>
      </c>
      <c r="D128" t="s">
        <v>129</v>
      </c>
      <c r="E128" t="s">
        <v>128</v>
      </c>
      <c r="F128" s="18">
        <f t="shared" si="15"/>
        <v>1.4804780160779826E-3</v>
      </c>
      <c r="G128">
        <v>40</v>
      </c>
      <c r="H128">
        <v>7.9350168294840803E-2</v>
      </c>
      <c r="I128">
        <f t="shared" si="12"/>
        <v>8.3276888404386518E-2</v>
      </c>
      <c r="J128">
        <v>1600000</v>
      </c>
      <c r="K128">
        <v>1000</v>
      </c>
      <c r="L128">
        <v>18000</v>
      </c>
      <c r="M128">
        <v>5000</v>
      </c>
      <c r="N128" s="19">
        <f t="shared" si="16"/>
        <v>5.2157358496316287E-5</v>
      </c>
      <c r="O128">
        <v>1.34867197981047</v>
      </c>
      <c r="P128">
        <v>0.03</v>
      </c>
      <c r="Q128" s="2">
        <f t="shared" si="13"/>
        <v>1.6998179E-3</v>
      </c>
      <c r="R128">
        <f t="shared" si="14"/>
        <v>1.9000000000000001E-5</v>
      </c>
      <c r="S128">
        <v>89.464100000000002</v>
      </c>
      <c r="T128" s="19">
        <f t="shared" si="17"/>
        <v>3.2324532745742988E-3</v>
      </c>
    </row>
    <row r="129" spans="1:20" x14ac:dyDescent="0.35">
      <c r="A129" t="s">
        <v>303</v>
      </c>
      <c r="B129">
        <v>14.2498261923163</v>
      </c>
      <c r="C129">
        <v>37.544390865631698</v>
      </c>
      <c r="D129" t="s">
        <v>129</v>
      </c>
      <c r="E129" t="s">
        <v>128</v>
      </c>
      <c r="F129" s="18">
        <f t="shared" si="15"/>
        <v>1.4804780160779826E-3</v>
      </c>
      <c r="G129">
        <v>40</v>
      </c>
      <c r="H129">
        <v>7.9350168294840803E-2</v>
      </c>
      <c r="I129">
        <f t="shared" si="12"/>
        <v>8.3276888404386518E-2</v>
      </c>
      <c r="J129">
        <v>1600000</v>
      </c>
      <c r="K129">
        <v>1000</v>
      </c>
      <c r="L129">
        <v>18000</v>
      </c>
      <c r="M129">
        <v>5000</v>
      </c>
      <c r="N129" s="19">
        <f t="shared" si="16"/>
        <v>5.2157358496316287E-5</v>
      </c>
      <c r="O129">
        <v>1.34867197981047</v>
      </c>
      <c r="P129">
        <v>0.03</v>
      </c>
      <c r="Q129" s="2">
        <f t="shared" si="13"/>
        <v>1.6998179E-3</v>
      </c>
      <c r="R129">
        <f t="shared" si="14"/>
        <v>1.9000000000000001E-5</v>
      </c>
      <c r="S129">
        <v>89.464100000000002</v>
      </c>
      <c r="T129" s="19">
        <f t="shared" si="17"/>
        <v>3.2324532745742988E-3</v>
      </c>
    </row>
    <row r="130" spans="1:20" x14ac:dyDescent="0.35">
      <c r="A130" t="s">
        <v>304</v>
      </c>
      <c r="B130">
        <v>20.902977</v>
      </c>
      <c r="C130">
        <v>42.602635999999997</v>
      </c>
      <c r="D130" t="s">
        <v>129</v>
      </c>
      <c r="E130" t="s">
        <v>128</v>
      </c>
      <c r="F130" s="18">
        <f t="shared" ref="F130:F161" si="18">(J130*I130)/(L130*M130)</f>
        <v>4.1587192033555433E-3</v>
      </c>
      <c r="G130">
        <v>40</v>
      </c>
      <c r="H130">
        <f>MAX($H$97:$H$105,$H$107:$H$129,$H$131:$H$135,$H$137:$H$156)</f>
        <v>0.23387568839784301</v>
      </c>
      <c r="I130">
        <f t="shared" si="12"/>
        <v>0.23392795518874931</v>
      </c>
      <c r="J130">
        <v>1600000</v>
      </c>
      <c r="K130">
        <v>1000</v>
      </c>
      <c r="L130">
        <v>18000</v>
      </c>
      <c r="M130">
        <v>5000</v>
      </c>
      <c r="N130" s="19">
        <f t="shared" ref="N130:N161" si="19">P130*F130*0.5*(1+O130)</f>
        <v>1.4651200897231324E-4</v>
      </c>
      <c r="O130">
        <v>1.34867197981047</v>
      </c>
      <c r="P130">
        <v>0.03</v>
      </c>
      <c r="Q130" s="2">
        <f t="shared" si="13"/>
        <v>1.6998179E-3</v>
      </c>
      <c r="R130">
        <f t="shared" si="14"/>
        <v>1.9000000000000001E-5</v>
      </c>
      <c r="S130">
        <f>MAX(S$97:S$105,S$107:S$129,S$131:S$134,S$137:S$156)</f>
        <v>89.464100000000002</v>
      </c>
      <c r="T130" s="19">
        <f t="shared" ref="T130:T161" si="20">F130+Q130+N130</f>
        <v>6.0050491123278564E-3</v>
      </c>
    </row>
    <row r="131" spans="1:20" x14ac:dyDescent="0.35">
      <c r="A131" t="s">
        <v>152</v>
      </c>
      <c r="B131">
        <v>24.5</v>
      </c>
      <c r="C131">
        <v>55.169438</v>
      </c>
      <c r="D131" t="s">
        <v>129</v>
      </c>
      <c r="E131" t="s">
        <v>128</v>
      </c>
      <c r="F131" s="18">
        <f t="shared" si="18"/>
        <v>1.3221529203867246E-3</v>
      </c>
      <c r="G131">
        <v>40</v>
      </c>
      <c r="H131">
        <v>6.9266443006880396E-2</v>
      </c>
      <c r="I131">
        <f t="shared" ref="I131:I188" si="21">((1+H131)^G131*H131)/((1+H131)^G131-1)</f>
        <v>7.4371101771753254E-2</v>
      </c>
      <c r="J131">
        <v>1600000</v>
      </c>
      <c r="K131">
        <v>1000</v>
      </c>
      <c r="L131">
        <v>18000</v>
      </c>
      <c r="M131">
        <v>5000</v>
      </c>
      <c r="N131" s="19">
        <f t="shared" si="19"/>
        <v>4.6579552757053246E-5</v>
      </c>
      <c r="O131">
        <v>1.34867197981047</v>
      </c>
      <c r="P131">
        <v>0.03</v>
      </c>
      <c r="Q131" s="2">
        <f t="shared" ref="Q131:Q188" si="22">R131*S131</f>
        <v>1.1624656000000001E-3</v>
      </c>
      <c r="R131">
        <f t="shared" ref="R131:R188" si="23">0.019/1000</f>
        <v>1.9000000000000001E-5</v>
      </c>
      <c r="S131">
        <v>61.182400000000001</v>
      </c>
      <c r="T131" s="19">
        <f t="shared" si="20"/>
        <v>2.5311980731437781E-3</v>
      </c>
    </row>
    <row r="132" spans="1:20" x14ac:dyDescent="0.35">
      <c r="A132" t="s">
        <v>153</v>
      </c>
      <c r="B132">
        <v>6.1295830000000002</v>
      </c>
      <c r="C132">
        <v>49.815272999999998</v>
      </c>
      <c r="D132" t="s">
        <v>129</v>
      </c>
      <c r="E132" t="s">
        <v>128</v>
      </c>
      <c r="F132" s="18">
        <f t="shared" si="18"/>
        <v>1.1695969961831431E-3</v>
      </c>
      <c r="G132">
        <v>40</v>
      </c>
      <c r="H132">
        <v>5.9196653448999798E-2</v>
      </c>
      <c r="I132">
        <f t="shared" si="21"/>
        <v>6.5789831035301796E-2</v>
      </c>
      <c r="J132">
        <v>1600000</v>
      </c>
      <c r="K132">
        <v>1000</v>
      </c>
      <c r="L132">
        <v>18000</v>
      </c>
      <c r="M132">
        <v>5000</v>
      </c>
      <c r="N132" s="19">
        <f t="shared" si="19"/>
        <v>4.1204995389087622E-5</v>
      </c>
      <c r="O132">
        <v>1.34867197981047</v>
      </c>
      <c r="P132">
        <v>0.03</v>
      </c>
      <c r="Q132" s="2">
        <f t="shared" si="22"/>
        <v>1.5836405000000003E-3</v>
      </c>
      <c r="R132">
        <f t="shared" si="23"/>
        <v>1.9000000000000001E-5</v>
      </c>
      <c r="S132">
        <v>83.349500000000006</v>
      </c>
      <c r="T132" s="19">
        <f t="shared" si="20"/>
        <v>2.7944424915722311E-3</v>
      </c>
    </row>
    <row r="133" spans="1:20" x14ac:dyDescent="0.35">
      <c r="A133" t="s">
        <v>154</v>
      </c>
      <c r="B133">
        <v>24.603189</v>
      </c>
      <c r="C133">
        <v>56.879635</v>
      </c>
      <c r="D133" t="s">
        <v>129</v>
      </c>
      <c r="E133" t="s">
        <v>128</v>
      </c>
      <c r="F133" s="18">
        <f t="shared" si="18"/>
        <v>1.3537756587666146E-3</v>
      </c>
      <c r="G133">
        <v>40</v>
      </c>
      <c r="H133">
        <v>7.1306894605559695E-2</v>
      </c>
      <c r="I133">
        <f t="shared" si="21"/>
        <v>7.6149880805622072E-2</v>
      </c>
      <c r="J133">
        <v>1600000</v>
      </c>
      <c r="K133">
        <v>1000</v>
      </c>
      <c r="L133">
        <v>18000</v>
      </c>
      <c r="M133">
        <v>5000</v>
      </c>
      <c r="N133" s="19">
        <f t="shared" si="19"/>
        <v>4.7693624350419122E-5</v>
      </c>
      <c r="O133">
        <v>1.34867197981047</v>
      </c>
      <c r="P133">
        <v>0.03</v>
      </c>
      <c r="Q133" s="2">
        <f t="shared" si="22"/>
        <v>1.1558460000000001E-3</v>
      </c>
      <c r="R133">
        <f t="shared" si="23"/>
        <v>1.9000000000000001E-5</v>
      </c>
      <c r="S133">
        <v>60.834000000000003</v>
      </c>
      <c r="T133" s="19">
        <f t="shared" si="20"/>
        <v>2.5573152831170338E-3</v>
      </c>
    </row>
    <row r="134" spans="1:20" x14ac:dyDescent="0.35">
      <c r="A134" t="s">
        <v>155</v>
      </c>
      <c r="B134">
        <v>28.369885</v>
      </c>
      <c r="C134">
        <v>47.411631</v>
      </c>
      <c r="D134" t="s">
        <v>129</v>
      </c>
      <c r="E134" t="s">
        <v>128</v>
      </c>
      <c r="F134" s="18">
        <f t="shared" si="18"/>
        <v>2.2245834053373757E-3</v>
      </c>
      <c r="G134">
        <v>40</v>
      </c>
      <c r="H134">
        <v>0.123965322346344</v>
      </c>
      <c r="I134">
        <f t="shared" si="21"/>
        <v>0.12513281655022737</v>
      </c>
      <c r="J134">
        <v>1600000</v>
      </c>
      <c r="K134">
        <v>1000</v>
      </c>
      <c r="L134">
        <v>18000</v>
      </c>
      <c r="M134">
        <v>5000</v>
      </c>
      <c r="N134" s="19">
        <f t="shared" si="19"/>
        <v>7.837225066300877E-5</v>
      </c>
      <c r="O134">
        <v>1.34867197981047</v>
      </c>
      <c r="P134">
        <v>0.03</v>
      </c>
      <c r="Q134" s="2">
        <f t="shared" si="22"/>
        <v>1.1364090000000001E-3</v>
      </c>
      <c r="R134">
        <f t="shared" si="23"/>
        <v>1.9000000000000001E-5</v>
      </c>
      <c r="S134">
        <v>59.811</v>
      </c>
      <c r="T134" s="19">
        <f t="shared" si="20"/>
        <v>3.4393646560003845E-3</v>
      </c>
    </row>
    <row r="135" spans="1:20" x14ac:dyDescent="0.35">
      <c r="A135" t="s">
        <v>156</v>
      </c>
      <c r="B135">
        <v>21.745274999999999</v>
      </c>
      <c r="C135">
        <v>41.608635</v>
      </c>
      <c r="D135" t="s">
        <v>129</v>
      </c>
      <c r="E135" t="s">
        <v>128</v>
      </c>
      <c r="F135" s="18">
        <f t="shared" si="18"/>
        <v>1.7672155970171045E-3</v>
      </c>
      <c r="G135">
        <v>40</v>
      </c>
      <c r="H135">
        <v>9.6951663375604902E-2</v>
      </c>
      <c r="I135">
        <f t="shared" si="21"/>
        <v>9.9405877332212123E-2</v>
      </c>
      <c r="J135">
        <v>1600000</v>
      </c>
      <c r="K135">
        <v>1000</v>
      </c>
      <c r="L135">
        <v>18000</v>
      </c>
      <c r="M135">
        <v>5000</v>
      </c>
      <c r="N135" s="19">
        <f t="shared" si="19"/>
        <v>6.2259146324971564E-5</v>
      </c>
      <c r="O135">
        <v>1.34867197981047</v>
      </c>
      <c r="P135">
        <v>0.03</v>
      </c>
      <c r="Q135" s="2">
        <f t="shared" si="22"/>
        <v>1.6998179E-3</v>
      </c>
      <c r="R135">
        <f t="shared" si="23"/>
        <v>1.9000000000000001E-5</v>
      </c>
      <c r="S135">
        <f>MAX(S97:S134,S136:S156)</f>
        <v>89.464100000000002</v>
      </c>
      <c r="T135" s="19">
        <f t="shared" si="20"/>
        <v>3.5292926433420761E-3</v>
      </c>
    </row>
    <row r="136" spans="1:20" x14ac:dyDescent="0.35">
      <c r="A136" t="s">
        <v>305</v>
      </c>
      <c r="B136">
        <v>14.445881634495899</v>
      </c>
      <c r="C136">
        <v>35.885040124413301</v>
      </c>
      <c r="D136" t="s">
        <v>129</v>
      </c>
      <c r="E136" t="s">
        <v>128</v>
      </c>
      <c r="F136" s="18">
        <f t="shared" si="18"/>
        <v>4.1587192033555433E-3</v>
      </c>
      <c r="G136">
        <v>40</v>
      </c>
      <c r="H136">
        <f>MAX($H$97:$H$105,$H$107:$H$129,$H$131:$H$135,$H$137:$H$156)</f>
        <v>0.23387568839784301</v>
      </c>
      <c r="I136">
        <f t="shared" si="21"/>
        <v>0.23392795518874931</v>
      </c>
      <c r="J136">
        <v>1600000</v>
      </c>
      <c r="K136">
        <v>1000</v>
      </c>
      <c r="L136">
        <v>18000</v>
      </c>
      <c r="M136">
        <v>5000</v>
      </c>
      <c r="N136" s="19">
        <f t="shared" si="19"/>
        <v>1.4651200897231324E-4</v>
      </c>
      <c r="O136">
        <v>1.34867197981047</v>
      </c>
      <c r="P136">
        <v>0.03</v>
      </c>
      <c r="Q136" s="2">
        <f t="shared" si="22"/>
        <v>1.0501471E-3</v>
      </c>
      <c r="R136">
        <f t="shared" si="23"/>
        <v>1.9000000000000001E-5</v>
      </c>
      <c r="S136">
        <v>55.270899999999997</v>
      </c>
      <c r="T136" s="19">
        <f t="shared" si="20"/>
        <v>5.3553783123278563E-3</v>
      </c>
    </row>
    <row r="137" spans="1:20" x14ac:dyDescent="0.35">
      <c r="A137" t="s">
        <v>157</v>
      </c>
      <c r="B137">
        <v>19.374389999999998</v>
      </c>
      <c r="C137">
        <v>42.708677999999999</v>
      </c>
      <c r="D137" t="s">
        <v>129</v>
      </c>
      <c r="E137" t="s">
        <v>128</v>
      </c>
      <c r="F137" s="18">
        <f t="shared" si="18"/>
        <v>1.8804548861786079E-3</v>
      </c>
      <c r="G137">
        <v>40</v>
      </c>
      <c r="H137">
        <v>0.103734808821598</v>
      </c>
      <c r="I137">
        <f t="shared" si="21"/>
        <v>0.1057755873475467</v>
      </c>
      <c r="J137">
        <v>1600000</v>
      </c>
      <c r="K137">
        <v>1000</v>
      </c>
      <c r="L137">
        <v>18000</v>
      </c>
      <c r="M137">
        <v>5000</v>
      </c>
      <c r="N137" s="19">
        <f t="shared" si="19"/>
        <v>6.6248575506980742E-5</v>
      </c>
      <c r="O137">
        <v>1.34867197981047</v>
      </c>
      <c r="P137">
        <v>0.03</v>
      </c>
      <c r="Q137" s="2">
        <f t="shared" si="22"/>
        <v>8.3925660000000002E-4</v>
      </c>
      <c r="R137">
        <f t="shared" si="23"/>
        <v>1.9000000000000001E-5</v>
      </c>
      <c r="S137">
        <v>44.171399999999998</v>
      </c>
      <c r="T137" s="19">
        <f t="shared" si="20"/>
        <v>2.7859600616855886E-3</v>
      </c>
    </row>
    <row r="138" spans="1:20" x14ac:dyDescent="0.35">
      <c r="A138" t="s">
        <v>158</v>
      </c>
      <c r="B138">
        <v>5.2912660000000002</v>
      </c>
      <c r="C138">
        <v>52.132632999999998</v>
      </c>
      <c r="D138" t="s">
        <v>129</v>
      </c>
      <c r="E138" t="s">
        <v>128</v>
      </c>
      <c r="F138" s="18">
        <f t="shared" si="18"/>
        <v>1.1669149553248318E-3</v>
      </c>
      <c r="G138">
        <v>40</v>
      </c>
      <c r="H138">
        <v>5.9015830665383802E-2</v>
      </c>
      <c r="I138">
        <f t="shared" si="21"/>
        <v>6.5638966237021784E-2</v>
      </c>
      <c r="J138">
        <v>1600000</v>
      </c>
      <c r="K138">
        <v>1000</v>
      </c>
      <c r="L138">
        <v>18000</v>
      </c>
      <c r="M138">
        <v>5000</v>
      </c>
      <c r="N138" s="19">
        <f t="shared" si="19"/>
        <v>4.1110506875898287E-5</v>
      </c>
      <c r="O138">
        <v>1.34867197981047</v>
      </c>
      <c r="P138">
        <v>0.03</v>
      </c>
      <c r="Q138" s="2">
        <f t="shared" si="22"/>
        <v>1.4659146000000002E-3</v>
      </c>
      <c r="R138">
        <f t="shared" si="23"/>
        <v>1.9000000000000001E-5</v>
      </c>
      <c r="S138">
        <v>77.153400000000005</v>
      </c>
      <c r="T138" s="19">
        <f t="shared" si="20"/>
        <v>2.6739400622007303E-3</v>
      </c>
    </row>
    <row r="139" spans="1:20" x14ac:dyDescent="0.35">
      <c r="A139" t="s">
        <v>159</v>
      </c>
      <c r="B139">
        <v>10.672611431425244</v>
      </c>
      <c r="C139">
        <v>62.533801483906984</v>
      </c>
      <c r="D139" t="s">
        <v>129</v>
      </c>
      <c r="E139" t="s">
        <v>128</v>
      </c>
      <c r="F139" s="18">
        <f t="shared" si="18"/>
        <v>1.1787819932075696E-3</v>
      </c>
      <c r="G139">
        <v>40</v>
      </c>
      <c r="H139">
        <v>5.9814815058105597E-2</v>
      </c>
      <c r="I139">
        <f t="shared" si="21"/>
        <v>6.6306487117925791E-2</v>
      </c>
      <c r="J139">
        <v>1600000</v>
      </c>
      <c r="K139">
        <v>1000</v>
      </c>
      <c r="L139">
        <v>18000</v>
      </c>
      <c r="M139">
        <v>5000</v>
      </c>
      <c r="N139" s="19">
        <f t="shared" si="19"/>
        <v>4.1528583566276316E-5</v>
      </c>
      <c r="O139">
        <v>1.34867197981047</v>
      </c>
      <c r="P139">
        <v>0.03</v>
      </c>
      <c r="Q139" s="2">
        <f t="shared" si="22"/>
        <v>1.1208822E-3</v>
      </c>
      <c r="R139">
        <f t="shared" si="23"/>
        <v>1.9000000000000001E-5</v>
      </c>
      <c r="S139">
        <v>58.9938</v>
      </c>
      <c r="T139" s="19">
        <f t="shared" si="20"/>
        <v>2.341192776773846E-3</v>
      </c>
    </row>
    <row r="140" spans="1:20" x14ac:dyDescent="0.35">
      <c r="A140" t="s">
        <v>306</v>
      </c>
      <c r="B140">
        <v>11.2545920238741</v>
      </c>
      <c r="C140">
        <v>60.204070969842199</v>
      </c>
      <c r="D140" t="s">
        <v>129</v>
      </c>
      <c r="E140" t="s">
        <v>128</v>
      </c>
      <c r="F140" s="18">
        <f t="shared" si="18"/>
        <v>1.1787819932075696E-3</v>
      </c>
      <c r="G140">
        <v>40</v>
      </c>
      <c r="H140">
        <v>5.9814815058105597E-2</v>
      </c>
      <c r="I140">
        <f t="shared" si="21"/>
        <v>6.6306487117925791E-2</v>
      </c>
      <c r="J140">
        <v>1600000</v>
      </c>
      <c r="K140">
        <v>1000</v>
      </c>
      <c r="L140">
        <v>18000</v>
      </c>
      <c r="M140">
        <v>5000</v>
      </c>
      <c r="N140" s="19">
        <f t="shared" si="19"/>
        <v>4.1528583566276316E-5</v>
      </c>
      <c r="O140">
        <v>1.34867197981047</v>
      </c>
      <c r="P140">
        <v>0.03</v>
      </c>
      <c r="Q140" s="2">
        <f t="shared" si="22"/>
        <v>1.1208822E-3</v>
      </c>
      <c r="R140">
        <f t="shared" si="23"/>
        <v>1.9000000000000001E-5</v>
      </c>
      <c r="S140">
        <v>58.9938</v>
      </c>
      <c r="T140" s="19">
        <f t="shared" si="20"/>
        <v>2.341192776773846E-3</v>
      </c>
    </row>
    <row r="141" spans="1:20" x14ac:dyDescent="0.35">
      <c r="A141" t="s">
        <v>307</v>
      </c>
      <c r="B141">
        <v>7.1577443610937097</v>
      </c>
      <c r="C141">
        <v>58.381637676133799</v>
      </c>
      <c r="D141" t="s">
        <v>129</v>
      </c>
      <c r="E141" t="s">
        <v>128</v>
      </c>
      <c r="F141" s="18">
        <f t="shared" si="18"/>
        <v>1.1787819932075696E-3</v>
      </c>
      <c r="G141">
        <v>40</v>
      </c>
      <c r="H141">
        <v>5.9814815058105597E-2</v>
      </c>
      <c r="I141">
        <f t="shared" si="21"/>
        <v>6.6306487117925791E-2</v>
      </c>
      <c r="J141">
        <v>1600000</v>
      </c>
      <c r="K141">
        <v>1000</v>
      </c>
      <c r="L141">
        <v>18000</v>
      </c>
      <c r="M141">
        <v>5000</v>
      </c>
      <c r="N141" s="19">
        <f t="shared" si="19"/>
        <v>4.1528583566276316E-5</v>
      </c>
      <c r="O141">
        <v>1.34867197981047</v>
      </c>
      <c r="P141">
        <v>0.03</v>
      </c>
      <c r="Q141" s="2">
        <f t="shared" si="22"/>
        <v>1.1208822E-3</v>
      </c>
      <c r="R141">
        <f t="shared" si="23"/>
        <v>1.9000000000000001E-5</v>
      </c>
      <c r="S141">
        <v>58.9938</v>
      </c>
      <c r="T141" s="19">
        <f t="shared" si="20"/>
        <v>2.341192776773846E-3</v>
      </c>
    </row>
    <row r="142" spans="1:20" x14ac:dyDescent="0.35">
      <c r="A142" t="s">
        <v>308</v>
      </c>
      <c r="B142">
        <v>10.4638878677147</v>
      </c>
      <c r="C142">
        <v>64</v>
      </c>
      <c r="D142" t="s">
        <v>129</v>
      </c>
      <c r="E142" t="s">
        <v>128</v>
      </c>
      <c r="F142" s="18">
        <f t="shared" si="18"/>
        <v>1.1787819932075696E-3</v>
      </c>
      <c r="G142">
        <v>40</v>
      </c>
      <c r="H142">
        <v>5.9814815058105597E-2</v>
      </c>
      <c r="I142">
        <f t="shared" si="21"/>
        <v>6.6306487117925791E-2</v>
      </c>
      <c r="J142">
        <v>1600000</v>
      </c>
      <c r="K142">
        <v>1000</v>
      </c>
      <c r="L142">
        <v>18000</v>
      </c>
      <c r="M142">
        <v>5000</v>
      </c>
      <c r="N142" s="19">
        <f t="shared" si="19"/>
        <v>4.1528583566276316E-5</v>
      </c>
      <c r="O142">
        <v>1.34867197981047</v>
      </c>
      <c r="P142">
        <v>0.03</v>
      </c>
      <c r="Q142" s="2">
        <f t="shared" si="22"/>
        <v>1.1208822E-3</v>
      </c>
      <c r="R142">
        <f t="shared" si="23"/>
        <v>1.9000000000000001E-5</v>
      </c>
      <c r="S142">
        <v>58.9938</v>
      </c>
      <c r="T142" s="19">
        <f t="shared" si="20"/>
        <v>2.341192776773846E-3</v>
      </c>
    </row>
    <row r="143" spans="1:20" x14ac:dyDescent="0.35">
      <c r="A143" t="s">
        <v>309</v>
      </c>
      <c r="B143">
        <v>17.720099344868199</v>
      </c>
      <c r="C143">
        <v>68.8</v>
      </c>
      <c r="D143" t="s">
        <v>129</v>
      </c>
      <c r="E143" t="s">
        <v>128</v>
      </c>
      <c r="F143" s="18">
        <f t="shared" si="18"/>
        <v>1.1787819932075696E-3</v>
      </c>
      <c r="G143">
        <v>40</v>
      </c>
      <c r="H143">
        <v>5.9814815058105597E-2</v>
      </c>
      <c r="I143">
        <f t="shared" si="21"/>
        <v>6.6306487117925791E-2</v>
      </c>
      <c r="J143">
        <v>1600000</v>
      </c>
      <c r="K143">
        <v>1000</v>
      </c>
      <c r="L143">
        <v>18000</v>
      </c>
      <c r="M143">
        <v>5000</v>
      </c>
      <c r="N143" s="19">
        <f t="shared" si="19"/>
        <v>4.1528583566276316E-5</v>
      </c>
      <c r="O143">
        <v>1.34867197981047</v>
      </c>
      <c r="P143">
        <v>0.03</v>
      </c>
      <c r="Q143" s="2">
        <f t="shared" si="22"/>
        <v>1.1208822E-3</v>
      </c>
      <c r="R143">
        <f t="shared" si="23"/>
        <v>1.9000000000000001E-5</v>
      </c>
      <c r="S143">
        <v>58.9938</v>
      </c>
      <c r="T143" s="19">
        <f t="shared" si="20"/>
        <v>2.341192776773846E-3</v>
      </c>
    </row>
    <row r="144" spans="1:20" x14ac:dyDescent="0.35">
      <c r="A144" t="s">
        <v>310</v>
      </c>
      <c r="B144">
        <v>6.7667335595755098</v>
      </c>
      <c r="C144">
        <v>61.283298773558897</v>
      </c>
      <c r="D144" t="s">
        <v>129</v>
      </c>
      <c r="E144" t="s">
        <v>128</v>
      </c>
      <c r="F144" s="18">
        <f t="shared" si="18"/>
        <v>1.1787819932075696E-3</v>
      </c>
      <c r="G144">
        <v>40</v>
      </c>
      <c r="H144">
        <v>5.9814815058105597E-2</v>
      </c>
      <c r="I144">
        <f t="shared" si="21"/>
        <v>6.6306487117925791E-2</v>
      </c>
      <c r="J144">
        <v>1600000</v>
      </c>
      <c r="K144">
        <v>1000</v>
      </c>
      <c r="L144">
        <v>18000</v>
      </c>
      <c r="M144">
        <v>5000</v>
      </c>
      <c r="N144" s="19">
        <f t="shared" si="19"/>
        <v>4.1528583566276316E-5</v>
      </c>
      <c r="O144">
        <v>1.34867197981047</v>
      </c>
      <c r="P144">
        <v>0.03</v>
      </c>
      <c r="Q144" s="2">
        <f t="shared" si="22"/>
        <v>1.1208822E-3</v>
      </c>
      <c r="R144">
        <f t="shared" si="23"/>
        <v>1.9000000000000001E-5</v>
      </c>
      <c r="S144">
        <v>58.9938</v>
      </c>
      <c r="T144" s="19">
        <f t="shared" si="20"/>
        <v>2.341192776773846E-3</v>
      </c>
    </row>
    <row r="145" spans="1:20" x14ac:dyDescent="0.35">
      <c r="A145" t="s">
        <v>160</v>
      </c>
      <c r="B145">
        <v>19.145136000000001</v>
      </c>
      <c r="C145">
        <v>51.919438</v>
      </c>
      <c r="D145" t="s">
        <v>129</v>
      </c>
      <c r="E145" t="s">
        <v>128</v>
      </c>
      <c r="F145" s="18">
        <f t="shared" si="18"/>
        <v>1.307157413620647E-3</v>
      </c>
      <c r="G145">
        <v>40</v>
      </c>
      <c r="H145">
        <v>6.8293731004406999E-2</v>
      </c>
      <c r="I145">
        <f t="shared" si="21"/>
        <v>7.3527604516161388E-2</v>
      </c>
      <c r="J145">
        <v>1600000</v>
      </c>
      <c r="K145">
        <v>1000</v>
      </c>
      <c r="L145">
        <v>18000</v>
      </c>
      <c r="M145">
        <v>5000</v>
      </c>
      <c r="N145" s="19">
        <f t="shared" si="19"/>
        <v>4.6051259858585079E-5</v>
      </c>
      <c r="O145">
        <v>1.34867197981047</v>
      </c>
      <c r="P145">
        <v>0.03</v>
      </c>
      <c r="Q145" s="2">
        <f t="shared" si="22"/>
        <v>1.1900289E-3</v>
      </c>
      <c r="R145">
        <f t="shared" si="23"/>
        <v>1.9000000000000001E-5</v>
      </c>
      <c r="S145">
        <v>62.633099999999999</v>
      </c>
      <c r="T145" s="19">
        <f t="shared" si="20"/>
        <v>2.5432375734792323E-3</v>
      </c>
    </row>
    <row r="146" spans="1:20" x14ac:dyDescent="0.35">
      <c r="A146" t="s">
        <v>161</v>
      </c>
      <c r="B146">
        <v>-8.2244539999999997</v>
      </c>
      <c r="C146">
        <v>39.399872000000002</v>
      </c>
      <c r="D146" t="s">
        <v>129</v>
      </c>
      <c r="E146" t="s">
        <v>128</v>
      </c>
      <c r="F146" s="18">
        <f t="shared" si="18"/>
        <v>1.3497821252367991E-3</v>
      </c>
      <c r="G146">
        <v>40</v>
      </c>
      <c r="H146">
        <v>7.1050000375815506E-2</v>
      </c>
      <c r="I146">
        <f t="shared" si="21"/>
        <v>7.5925244544569948E-2</v>
      </c>
      <c r="J146">
        <v>1600000</v>
      </c>
      <c r="K146">
        <v>1000</v>
      </c>
      <c r="L146">
        <v>18000</v>
      </c>
      <c r="M146">
        <v>5000</v>
      </c>
      <c r="N146" s="19">
        <f t="shared" si="19"/>
        <v>4.755293184589045E-5</v>
      </c>
      <c r="O146">
        <v>1.34867197981047</v>
      </c>
      <c r="P146">
        <v>0.03</v>
      </c>
      <c r="Q146" s="2">
        <f t="shared" si="22"/>
        <v>1.1618234000000001E-3</v>
      </c>
      <c r="R146">
        <f t="shared" si="23"/>
        <v>1.9000000000000001E-5</v>
      </c>
      <c r="S146">
        <v>61.148600000000002</v>
      </c>
      <c r="T146" s="19">
        <f t="shared" si="20"/>
        <v>2.55915845708269E-3</v>
      </c>
    </row>
    <row r="147" spans="1:20" x14ac:dyDescent="0.35">
      <c r="A147" t="s">
        <v>162</v>
      </c>
      <c r="B147">
        <v>24.966760000000001</v>
      </c>
      <c r="C147">
        <v>45.943161000000003</v>
      </c>
      <c r="D147" t="s">
        <v>129</v>
      </c>
      <c r="E147" t="s">
        <v>128</v>
      </c>
      <c r="F147" s="18">
        <f t="shared" si="18"/>
        <v>1.5183217181711807E-3</v>
      </c>
      <c r="G147">
        <v>40</v>
      </c>
      <c r="H147">
        <v>8.1716223326314605E-2</v>
      </c>
      <c r="I147">
        <f t="shared" si="21"/>
        <v>8.540559664712892E-2</v>
      </c>
      <c r="J147">
        <v>1600000</v>
      </c>
      <c r="K147">
        <v>1000</v>
      </c>
      <c r="L147">
        <v>18000</v>
      </c>
      <c r="M147">
        <v>5000</v>
      </c>
      <c r="N147" s="19">
        <f t="shared" si="19"/>
        <v>5.3490595137095121E-5</v>
      </c>
      <c r="O147">
        <v>1.34867197981047</v>
      </c>
      <c r="P147">
        <v>0.03</v>
      </c>
      <c r="Q147" s="2">
        <f t="shared" si="22"/>
        <v>1.1417555999999999E-3</v>
      </c>
      <c r="R147">
        <f t="shared" si="23"/>
        <v>1.9000000000000001E-5</v>
      </c>
      <c r="S147">
        <v>60.092399999999998</v>
      </c>
      <c r="T147" s="19">
        <f t="shared" si="20"/>
        <v>2.7135679133082759E-3</v>
      </c>
    </row>
    <row r="148" spans="1:20" x14ac:dyDescent="0.35">
      <c r="A148" t="s">
        <v>163</v>
      </c>
      <c r="B148">
        <v>21.005859000000001</v>
      </c>
      <c r="C148">
        <v>44.016520999999997</v>
      </c>
      <c r="D148" t="s">
        <v>129</v>
      </c>
      <c r="E148" t="s">
        <v>128</v>
      </c>
      <c r="F148" s="18">
        <f t="shared" si="18"/>
        <v>1.6470407839884486E-3</v>
      </c>
      <c r="G148">
        <v>40</v>
      </c>
      <c r="H148">
        <v>8.9659302524269804E-2</v>
      </c>
      <c r="I148">
        <f t="shared" si="21"/>
        <v>9.2646044099350233E-2</v>
      </c>
      <c r="J148">
        <v>1600000</v>
      </c>
      <c r="K148">
        <v>1000</v>
      </c>
      <c r="L148">
        <v>18000</v>
      </c>
      <c r="M148">
        <v>5000</v>
      </c>
      <c r="N148" s="19">
        <f t="shared" si="19"/>
        <v>5.8025378084381071E-5</v>
      </c>
      <c r="O148">
        <v>1.34867197981047</v>
      </c>
      <c r="P148">
        <v>0.03</v>
      </c>
      <c r="Q148" s="2">
        <f t="shared" si="22"/>
        <v>1.0546843000000001E-3</v>
      </c>
      <c r="R148">
        <f t="shared" si="23"/>
        <v>1.9000000000000001E-5</v>
      </c>
      <c r="S148">
        <v>55.509700000000002</v>
      </c>
      <c r="T148" s="19">
        <f t="shared" si="20"/>
        <v>2.7597504620728297E-3</v>
      </c>
    </row>
    <row r="149" spans="1:20" x14ac:dyDescent="0.35">
      <c r="A149" t="s">
        <v>164</v>
      </c>
      <c r="B149">
        <v>19.699024000000001</v>
      </c>
      <c r="C149">
        <v>48.669026000000002</v>
      </c>
      <c r="D149" t="s">
        <v>129</v>
      </c>
      <c r="E149" t="s">
        <v>128</v>
      </c>
      <c r="F149" s="18">
        <f t="shared" si="18"/>
        <v>1.2996793404670818E-3</v>
      </c>
      <c r="G149">
        <v>40</v>
      </c>
      <c r="H149">
        <v>6.78073750031703E-2</v>
      </c>
      <c r="I149">
        <f t="shared" si="21"/>
        <v>7.3106962901273345E-2</v>
      </c>
      <c r="J149">
        <v>1600000</v>
      </c>
      <c r="K149">
        <v>1000</v>
      </c>
      <c r="L149">
        <v>18000</v>
      </c>
      <c r="M149">
        <v>5000</v>
      </c>
      <c r="N149" s="19">
        <f t="shared" si="19"/>
        <v>4.5787806745403805E-5</v>
      </c>
      <c r="O149">
        <v>1.34867197981047</v>
      </c>
      <c r="P149">
        <v>0.03</v>
      </c>
      <c r="Q149" s="2">
        <f t="shared" si="22"/>
        <v>1.1950449E-3</v>
      </c>
      <c r="R149">
        <f t="shared" si="23"/>
        <v>1.9000000000000001E-5</v>
      </c>
      <c r="S149">
        <v>62.897100000000002</v>
      </c>
      <c r="T149" s="19">
        <f t="shared" si="20"/>
        <v>2.5405120472124856E-3</v>
      </c>
    </row>
    <row r="150" spans="1:20" x14ac:dyDescent="0.35">
      <c r="A150" t="s">
        <v>165</v>
      </c>
      <c r="B150">
        <v>14.995463000000001</v>
      </c>
      <c r="C150">
        <v>46.151240999999999</v>
      </c>
      <c r="D150" t="s">
        <v>129</v>
      </c>
      <c r="E150" t="s">
        <v>128</v>
      </c>
      <c r="F150" s="18">
        <f t="shared" si="18"/>
        <v>1.3577726575316395E-3</v>
      </c>
      <c r="G150">
        <v>40</v>
      </c>
      <c r="H150">
        <v>7.1563788835303899E-2</v>
      </c>
      <c r="I150">
        <f t="shared" si="21"/>
        <v>7.6374711986154725E-2</v>
      </c>
      <c r="J150">
        <v>1600000</v>
      </c>
      <c r="K150">
        <v>1000</v>
      </c>
      <c r="L150">
        <v>18000</v>
      </c>
      <c r="M150">
        <v>5000</v>
      </c>
      <c r="N150" s="19">
        <f t="shared" si="19"/>
        <v>4.7834438935460383E-5</v>
      </c>
      <c r="O150">
        <v>1.34867197981047</v>
      </c>
      <c r="P150">
        <v>0.03</v>
      </c>
      <c r="Q150" s="2">
        <f t="shared" si="22"/>
        <v>1.1841389E-3</v>
      </c>
      <c r="R150">
        <f t="shared" si="23"/>
        <v>1.9000000000000001E-5</v>
      </c>
      <c r="S150">
        <v>62.323099999999997</v>
      </c>
      <c r="T150" s="19">
        <f t="shared" si="20"/>
        <v>2.5897459964671003E-3</v>
      </c>
    </row>
    <row r="151" spans="1:20" x14ac:dyDescent="0.35">
      <c r="A151" t="s">
        <v>166</v>
      </c>
      <c r="B151">
        <v>18.114807784812498</v>
      </c>
      <c r="C151">
        <v>59.667783456779901</v>
      </c>
      <c r="D151" t="s">
        <v>129</v>
      </c>
      <c r="E151" t="s">
        <v>128</v>
      </c>
      <c r="F151" s="18">
        <f t="shared" si="18"/>
        <v>1.1831645346548087E-3</v>
      </c>
      <c r="G151">
        <v>40</v>
      </c>
      <c r="H151">
        <v>6.0109177729108301E-2</v>
      </c>
      <c r="I151">
        <f t="shared" si="21"/>
        <v>6.6553005074332983E-2</v>
      </c>
      <c r="J151">
        <v>1600000</v>
      </c>
      <c r="K151">
        <v>1000</v>
      </c>
      <c r="L151">
        <v>18000</v>
      </c>
      <c r="M151">
        <v>5000</v>
      </c>
      <c r="N151" s="19">
        <f t="shared" si="19"/>
        <v>4.1682980850738648E-5</v>
      </c>
      <c r="O151">
        <v>1.34867197981047</v>
      </c>
      <c r="P151">
        <v>0.03</v>
      </c>
      <c r="Q151" s="2">
        <f t="shared" si="22"/>
        <v>1.1148459E-3</v>
      </c>
      <c r="R151">
        <f t="shared" si="23"/>
        <v>1.9000000000000001E-5</v>
      </c>
      <c r="S151">
        <v>58.676099999999998</v>
      </c>
      <c r="T151" s="19">
        <f t="shared" si="20"/>
        <v>2.3396934155055474E-3</v>
      </c>
    </row>
    <row r="152" spans="1:20" x14ac:dyDescent="0.35">
      <c r="A152" t="s">
        <v>311</v>
      </c>
      <c r="B152">
        <v>21.323745605867199</v>
      </c>
      <c r="C152">
        <v>66.281754638604298</v>
      </c>
      <c r="D152" t="s">
        <v>129</v>
      </c>
      <c r="E152" t="s">
        <v>128</v>
      </c>
      <c r="F152" s="18">
        <f t="shared" si="18"/>
        <v>1.1831645346548087E-3</v>
      </c>
      <c r="G152">
        <v>40</v>
      </c>
      <c r="H152">
        <v>6.0109177729108301E-2</v>
      </c>
      <c r="I152">
        <f t="shared" si="21"/>
        <v>6.6553005074332983E-2</v>
      </c>
      <c r="J152">
        <v>1600000</v>
      </c>
      <c r="K152">
        <v>1000</v>
      </c>
      <c r="L152">
        <v>18000</v>
      </c>
      <c r="M152">
        <v>5000</v>
      </c>
      <c r="N152" s="19">
        <f t="shared" si="19"/>
        <v>4.1682980850738648E-5</v>
      </c>
      <c r="O152">
        <v>1.34867197981047</v>
      </c>
      <c r="P152">
        <v>0.03</v>
      </c>
      <c r="Q152" s="2">
        <f t="shared" si="22"/>
        <v>1.1148459E-3</v>
      </c>
      <c r="R152">
        <f t="shared" si="23"/>
        <v>1.9000000000000001E-5</v>
      </c>
      <c r="S152">
        <v>58.676099999999998</v>
      </c>
      <c r="T152" s="19">
        <f t="shared" si="20"/>
        <v>2.3396934155055474E-3</v>
      </c>
    </row>
    <row r="153" spans="1:20" x14ac:dyDescent="0.35">
      <c r="A153" t="s">
        <v>312</v>
      </c>
      <c r="B153">
        <v>17.003547309817801</v>
      </c>
      <c r="C153">
        <v>63.335727049140203</v>
      </c>
      <c r="D153" t="s">
        <v>129</v>
      </c>
      <c r="E153" t="s">
        <v>128</v>
      </c>
      <c r="F153" s="18">
        <f t="shared" si="18"/>
        <v>1.1831645346548087E-3</v>
      </c>
      <c r="G153">
        <v>40</v>
      </c>
      <c r="H153">
        <v>6.0109177729108301E-2</v>
      </c>
      <c r="I153">
        <f t="shared" si="21"/>
        <v>6.6553005074332983E-2</v>
      </c>
      <c r="J153">
        <v>1600000</v>
      </c>
      <c r="K153">
        <v>1000</v>
      </c>
      <c r="L153">
        <v>18000</v>
      </c>
      <c r="M153">
        <v>5000</v>
      </c>
      <c r="N153" s="19">
        <f t="shared" si="19"/>
        <v>4.1682980850738648E-5</v>
      </c>
      <c r="O153">
        <v>1.34867197981047</v>
      </c>
      <c r="P153">
        <v>0.03</v>
      </c>
      <c r="Q153" s="2">
        <f t="shared" si="22"/>
        <v>1.1148459E-3</v>
      </c>
      <c r="R153">
        <f t="shared" si="23"/>
        <v>1.9000000000000001E-5</v>
      </c>
      <c r="S153">
        <v>58.676099999999998</v>
      </c>
      <c r="T153" s="19">
        <f t="shared" si="20"/>
        <v>2.3396934155055474E-3</v>
      </c>
    </row>
    <row r="154" spans="1:20" x14ac:dyDescent="0.35">
      <c r="A154" t="s">
        <v>313</v>
      </c>
      <c r="B154">
        <v>16.4986279706857</v>
      </c>
      <c r="C154">
        <v>59.850542786761999</v>
      </c>
      <c r="D154" t="s">
        <v>129</v>
      </c>
      <c r="E154" t="s">
        <v>128</v>
      </c>
      <c r="F154" s="18">
        <f t="shared" si="18"/>
        <v>1.1831645346548087E-3</v>
      </c>
      <c r="G154">
        <v>40</v>
      </c>
      <c r="H154">
        <v>6.0109177729108301E-2</v>
      </c>
      <c r="I154">
        <f t="shared" si="21"/>
        <v>6.6553005074332983E-2</v>
      </c>
      <c r="J154">
        <v>1600000</v>
      </c>
      <c r="K154">
        <v>1000</v>
      </c>
      <c r="L154">
        <v>18000</v>
      </c>
      <c r="M154">
        <v>5000</v>
      </c>
      <c r="N154" s="19">
        <f t="shared" si="19"/>
        <v>4.1682980850738648E-5</v>
      </c>
      <c r="O154">
        <v>1.34867197981047</v>
      </c>
      <c r="P154">
        <v>0.03</v>
      </c>
      <c r="Q154" s="2">
        <f t="shared" si="22"/>
        <v>1.1148459E-3</v>
      </c>
      <c r="R154">
        <f t="shared" si="23"/>
        <v>1.9000000000000001E-5</v>
      </c>
      <c r="S154">
        <v>58.676099999999998</v>
      </c>
      <c r="T154" s="19">
        <f t="shared" si="20"/>
        <v>2.3396934155055474E-3</v>
      </c>
    </row>
    <row r="155" spans="1:20" x14ac:dyDescent="0.35">
      <c r="A155" t="s">
        <v>314</v>
      </c>
      <c r="B155">
        <v>14.1389112461246</v>
      </c>
      <c r="C155">
        <v>56.774781313931399</v>
      </c>
      <c r="D155" t="s">
        <v>129</v>
      </c>
      <c r="E155" t="s">
        <v>128</v>
      </c>
      <c r="F155" s="18">
        <f t="shared" si="18"/>
        <v>1.1831645346548087E-3</v>
      </c>
      <c r="G155">
        <v>40</v>
      </c>
      <c r="H155">
        <v>6.0109177729108301E-2</v>
      </c>
      <c r="I155">
        <f t="shared" si="21"/>
        <v>6.6553005074332983E-2</v>
      </c>
      <c r="J155">
        <v>1600000</v>
      </c>
      <c r="K155">
        <v>1000</v>
      </c>
      <c r="L155">
        <v>18000</v>
      </c>
      <c r="M155">
        <v>5000</v>
      </c>
      <c r="N155" s="19">
        <f t="shared" si="19"/>
        <v>4.1682980850738648E-5</v>
      </c>
      <c r="O155">
        <v>1.34867197981047</v>
      </c>
      <c r="P155">
        <v>0.03</v>
      </c>
      <c r="Q155" s="2">
        <f t="shared" si="22"/>
        <v>1.1148459E-3</v>
      </c>
      <c r="R155">
        <f t="shared" si="23"/>
        <v>1.9000000000000001E-5</v>
      </c>
      <c r="S155">
        <v>58.676099999999998</v>
      </c>
      <c r="T155" s="19">
        <f t="shared" si="20"/>
        <v>2.3396934155055474E-3</v>
      </c>
    </row>
    <row r="156" spans="1:20" x14ac:dyDescent="0.35">
      <c r="A156" t="s">
        <v>167</v>
      </c>
      <c r="B156">
        <v>31.165579999999999</v>
      </c>
      <c r="C156">
        <v>50</v>
      </c>
      <c r="D156" t="s">
        <v>129</v>
      </c>
      <c r="E156" t="s">
        <v>128</v>
      </c>
      <c r="F156" s="18">
        <f t="shared" si="18"/>
        <v>3.0704273737567709E-3</v>
      </c>
      <c r="G156">
        <v>40</v>
      </c>
      <c r="H156">
        <v>0.17241362843708</v>
      </c>
      <c r="I156">
        <f t="shared" si="21"/>
        <v>0.17271153977381837</v>
      </c>
      <c r="J156">
        <v>1600000</v>
      </c>
      <c r="K156">
        <v>1000</v>
      </c>
      <c r="L156">
        <v>18000</v>
      </c>
      <c r="M156">
        <v>5000</v>
      </c>
      <c r="N156" s="19">
        <f t="shared" si="19"/>
        <v>1.0817140108178365E-4</v>
      </c>
      <c r="O156">
        <v>1.34867197981047</v>
      </c>
      <c r="P156">
        <v>0.03</v>
      </c>
      <c r="Q156" s="2">
        <f t="shared" si="22"/>
        <v>1.1586846000000001E-3</v>
      </c>
      <c r="R156">
        <f t="shared" si="23"/>
        <v>1.9000000000000001E-5</v>
      </c>
      <c r="S156">
        <v>60.983400000000003</v>
      </c>
      <c r="T156" s="19">
        <f t="shared" si="20"/>
        <v>4.3372833748385551E-3</v>
      </c>
    </row>
    <row r="157" spans="1:20" x14ac:dyDescent="0.35">
      <c r="A157" t="s">
        <v>315</v>
      </c>
      <c r="B157">
        <v>-88.497649999999993</v>
      </c>
      <c r="C157">
        <v>17.189876999999999</v>
      </c>
      <c r="D157" t="s">
        <v>129</v>
      </c>
      <c r="E157" t="s">
        <v>128</v>
      </c>
      <c r="F157" s="18">
        <f t="shared" si="18"/>
        <v>2.9779925341232808E-3</v>
      </c>
      <c r="G157">
        <v>40</v>
      </c>
      <c r="H157">
        <f>MAX($H$158:$H$170)</f>
        <v>0.167166351060169</v>
      </c>
      <c r="I157">
        <f t="shared" si="21"/>
        <v>0.16751208004443455</v>
      </c>
      <c r="J157">
        <v>1600000</v>
      </c>
      <c r="K157">
        <v>1000</v>
      </c>
      <c r="L157">
        <v>18000</v>
      </c>
      <c r="M157">
        <v>5000</v>
      </c>
      <c r="N157" s="19">
        <f t="shared" si="19"/>
        <v>5.3356613885775664E-5</v>
      </c>
      <c r="O157">
        <v>0.19446491273097</v>
      </c>
      <c r="P157">
        <v>0.03</v>
      </c>
      <c r="Q157" s="2">
        <f t="shared" si="22"/>
        <v>1.3407483000000002E-3</v>
      </c>
      <c r="R157">
        <f t="shared" si="23"/>
        <v>1.9000000000000001E-5</v>
      </c>
      <c r="S157">
        <v>70.565700000000007</v>
      </c>
      <c r="T157" s="19">
        <f t="shared" si="20"/>
        <v>4.3720974480090562E-3</v>
      </c>
    </row>
    <row r="158" spans="1:20" x14ac:dyDescent="0.35">
      <c r="A158" t="s">
        <v>172</v>
      </c>
      <c r="B158">
        <v>-93.481128380965501</v>
      </c>
      <c r="C158">
        <v>53.310060814017909</v>
      </c>
      <c r="D158" t="s">
        <v>129</v>
      </c>
      <c r="E158" t="s">
        <v>128</v>
      </c>
      <c r="F158" s="18">
        <f t="shared" si="18"/>
        <v>1.1647334869380338E-3</v>
      </c>
      <c r="G158">
        <v>40</v>
      </c>
      <c r="H158">
        <v>5.8868649329882498E-2</v>
      </c>
      <c r="I158">
        <f t="shared" si="21"/>
        <v>6.5516258640264405E-2</v>
      </c>
      <c r="J158">
        <v>1600000</v>
      </c>
      <c r="K158">
        <v>1000</v>
      </c>
      <c r="L158">
        <v>18000</v>
      </c>
      <c r="M158">
        <v>5000</v>
      </c>
      <c r="N158" s="19">
        <f t="shared" si="19"/>
        <v>4.0837056893216757E-5</v>
      </c>
      <c r="O158">
        <v>1.33741923803091</v>
      </c>
      <c r="P158">
        <v>0.03</v>
      </c>
      <c r="Q158" s="2">
        <f t="shared" si="22"/>
        <v>7.9693790000000004E-4</v>
      </c>
      <c r="R158">
        <f t="shared" si="23"/>
        <v>1.9000000000000001E-5</v>
      </c>
      <c r="S158">
        <v>41.944099999999999</v>
      </c>
      <c r="T158" s="19">
        <f t="shared" si="20"/>
        <v>2.0025084438312505E-3</v>
      </c>
    </row>
    <row r="159" spans="1:20" x14ac:dyDescent="0.35">
      <c r="A159" t="s">
        <v>175</v>
      </c>
      <c r="B159">
        <v>-83.753428</v>
      </c>
      <c r="C159">
        <v>9.7489170000000005</v>
      </c>
      <c r="D159" t="s">
        <v>129</v>
      </c>
      <c r="E159" t="s">
        <v>128</v>
      </c>
      <c r="F159" s="18">
        <f t="shared" si="18"/>
        <v>1.7838704609717249E-3</v>
      </c>
      <c r="G159">
        <v>40</v>
      </c>
      <c r="H159">
        <v>9.7954265183249095E-2</v>
      </c>
      <c r="I159">
        <f t="shared" si="21"/>
        <v>0.10034271342965952</v>
      </c>
      <c r="J159">
        <v>1600000</v>
      </c>
      <c r="K159">
        <v>1000</v>
      </c>
      <c r="L159">
        <v>18000</v>
      </c>
      <c r="M159">
        <v>5000</v>
      </c>
      <c r="N159" s="19">
        <f t="shared" si="19"/>
        <v>3.1961560117319192E-5</v>
      </c>
      <c r="O159">
        <v>0.19446491273097</v>
      </c>
      <c r="P159">
        <v>0.03</v>
      </c>
      <c r="Q159" s="2">
        <f t="shared" si="22"/>
        <v>1.0104979E-3</v>
      </c>
      <c r="R159">
        <f t="shared" si="23"/>
        <v>1.9000000000000001E-5</v>
      </c>
      <c r="S159">
        <v>53.184100000000001</v>
      </c>
      <c r="T159" s="19">
        <f t="shared" si="20"/>
        <v>2.8263299210890443E-3</v>
      </c>
    </row>
    <row r="160" spans="1:20" x14ac:dyDescent="0.35">
      <c r="A160" t="s">
        <v>176</v>
      </c>
      <c r="B160">
        <v>-77.781166999999996</v>
      </c>
      <c r="C160">
        <v>21.521757000000001</v>
      </c>
      <c r="D160" t="s">
        <v>129</v>
      </c>
      <c r="E160" t="s">
        <v>128</v>
      </c>
      <c r="F160" s="18">
        <f t="shared" si="18"/>
        <v>2.9448672850669873E-3</v>
      </c>
      <c r="G160">
        <v>40</v>
      </c>
      <c r="H160">
        <v>0.165284101884968</v>
      </c>
      <c r="I160">
        <f t="shared" si="21"/>
        <v>0.16564878478501802</v>
      </c>
      <c r="J160">
        <v>1600000</v>
      </c>
      <c r="K160">
        <v>1000</v>
      </c>
      <c r="L160">
        <v>18000</v>
      </c>
      <c r="M160">
        <v>5000</v>
      </c>
      <c r="N160" s="19">
        <f t="shared" si="19"/>
        <v>5.2763109669927405E-5</v>
      </c>
      <c r="O160">
        <v>0.19446491273097</v>
      </c>
      <c r="P160">
        <v>0.03</v>
      </c>
      <c r="Q160" s="2">
        <f t="shared" si="22"/>
        <v>1.3407483000000002E-3</v>
      </c>
      <c r="R160">
        <f t="shared" si="23"/>
        <v>1.9000000000000001E-5</v>
      </c>
      <c r="S160">
        <v>70.565700000000007</v>
      </c>
      <c r="T160" s="19">
        <f t="shared" si="20"/>
        <v>4.3383786947369151E-3</v>
      </c>
    </row>
    <row r="161" spans="1:20" x14ac:dyDescent="0.35">
      <c r="A161" t="s">
        <v>177</v>
      </c>
      <c r="B161">
        <v>-70.162650999999997</v>
      </c>
      <c r="C161">
        <v>18.735693000000001</v>
      </c>
      <c r="D161" t="s">
        <v>129</v>
      </c>
      <c r="E161" t="s">
        <v>128</v>
      </c>
      <c r="F161" s="18">
        <f t="shared" si="18"/>
        <v>1.6689823496190258E-3</v>
      </c>
      <c r="G161">
        <v>40</v>
      </c>
      <c r="H161">
        <v>9.0998865383001504E-2</v>
      </c>
      <c r="I161">
        <f t="shared" si="21"/>
        <v>9.3880257166070208E-2</v>
      </c>
      <c r="J161">
        <v>1600000</v>
      </c>
      <c r="K161">
        <v>1000</v>
      </c>
      <c r="L161">
        <v>18000</v>
      </c>
      <c r="M161">
        <v>5000</v>
      </c>
      <c r="N161" s="19">
        <f t="shared" si="19"/>
        <v>2.9903112848808282E-5</v>
      </c>
      <c r="O161">
        <v>0.19446491273097</v>
      </c>
      <c r="P161">
        <v>0.03</v>
      </c>
      <c r="Q161" s="2">
        <f t="shared" si="22"/>
        <v>1.0648265E-3</v>
      </c>
      <c r="R161">
        <f t="shared" si="23"/>
        <v>1.9000000000000001E-5</v>
      </c>
      <c r="S161">
        <v>56.043500000000002</v>
      </c>
      <c r="T161" s="19">
        <f t="shared" si="20"/>
        <v>2.7637119624678345E-3</v>
      </c>
    </row>
    <row r="162" spans="1:20" x14ac:dyDescent="0.35">
      <c r="A162" t="s">
        <v>179</v>
      </c>
      <c r="B162">
        <v>-90.230759000000006</v>
      </c>
      <c r="C162">
        <v>15.783471</v>
      </c>
      <c r="D162" t="s">
        <v>129</v>
      </c>
      <c r="E162" t="s">
        <v>128</v>
      </c>
      <c r="F162" s="18">
        <f t="shared" ref="F162:F188" si="24">(J162*I162)/(L162*M162)</f>
        <v>1.5199411526477609E-3</v>
      </c>
      <c r="G162">
        <v>40</v>
      </c>
      <c r="H162">
        <v>8.1817137144562693E-2</v>
      </c>
      <c r="I162">
        <f t="shared" si="21"/>
        <v>8.5496689836436546E-2</v>
      </c>
      <c r="J162">
        <v>1600000</v>
      </c>
      <c r="K162">
        <v>1000</v>
      </c>
      <c r="L162">
        <v>18000</v>
      </c>
      <c r="M162">
        <v>5000</v>
      </c>
      <c r="N162" s="19">
        <f t="shared" ref="N162:N188" si="25">P162*F162*0.5*(1+O162)</f>
        <v>2.7232745643804258E-5</v>
      </c>
      <c r="O162">
        <v>0.19446491273097</v>
      </c>
      <c r="P162">
        <v>0.03</v>
      </c>
      <c r="Q162" s="2">
        <f t="shared" si="22"/>
        <v>1.0210505000000001E-3</v>
      </c>
      <c r="R162">
        <f t="shared" si="23"/>
        <v>1.9000000000000001E-5</v>
      </c>
      <c r="S162">
        <v>53.7395</v>
      </c>
      <c r="T162" s="19">
        <f t="shared" ref="T162:T188" si="26">F162+Q162+N162</f>
        <v>2.5682243982915651E-3</v>
      </c>
    </row>
    <row r="163" spans="1:20" x14ac:dyDescent="0.35">
      <c r="A163" t="s">
        <v>181</v>
      </c>
      <c r="B163">
        <v>-86.241905000000003</v>
      </c>
      <c r="C163">
        <v>15.199999</v>
      </c>
      <c r="D163" t="s">
        <v>129</v>
      </c>
      <c r="E163" t="s">
        <v>128</v>
      </c>
      <c r="F163" s="18">
        <f t="shared" si="24"/>
        <v>1.8159616191775927E-3</v>
      </c>
      <c r="G163">
        <v>40</v>
      </c>
      <c r="H163">
        <v>9.9881113062698895E-2</v>
      </c>
      <c r="I163">
        <f t="shared" si="21"/>
        <v>0.10214784107873959</v>
      </c>
      <c r="J163">
        <v>1600000</v>
      </c>
      <c r="K163">
        <v>1000</v>
      </c>
      <c r="L163">
        <v>18000</v>
      </c>
      <c r="M163">
        <v>5000</v>
      </c>
      <c r="N163" s="19">
        <f t="shared" si="25"/>
        <v>3.2536536554606309E-5</v>
      </c>
      <c r="O163">
        <v>0.19446491273097</v>
      </c>
      <c r="P163">
        <v>0.03</v>
      </c>
      <c r="Q163" s="2">
        <f t="shared" si="22"/>
        <v>1.0002398E-3</v>
      </c>
      <c r="R163">
        <f t="shared" si="23"/>
        <v>1.9000000000000001E-5</v>
      </c>
      <c r="S163">
        <v>52.644199999999998</v>
      </c>
      <c r="T163" s="19">
        <f t="shared" si="26"/>
        <v>2.8487379557321992E-3</v>
      </c>
    </row>
    <row r="164" spans="1:20" x14ac:dyDescent="0.35">
      <c r="A164" t="s">
        <v>182</v>
      </c>
      <c r="B164">
        <v>-72.285214999999994</v>
      </c>
      <c r="C164">
        <v>18.971187</v>
      </c>
      <c r="D164" t="s">
        <v>129</v>
      </c>
      <c r="E164" t="s">
        <v>128</v>
      </c>
      <c r="F164" s="18">
        <f t="shared" si="24"/>
        <v>2.9779925341232808E-3</v>
      </c>
      <c r="G164">
        <v>40</v>
      </c>
      <c r="H164">
        <v>0.167166351060169</v>
      </c>
      <c r="I164">
        <f t="shared" si="21"/>
        <v>0.16751208004443455</v>
      </c>
      <c r="J164">
        <v>1600000</v>
      </c>
      <c r="K164">
        <v>1000</v>
      </c>
      <c r="L164">
        <v>18000</v>
      </c>
      <c r="M164">
        <v>5000</v>
      </c>
      <c r="N164" s="19">
        <f t="shared" si="25"/>
        <v>5.3356613885775664E-5</v>
      </c>
      <c r="O164">
        <v>0.19446491273097</v>
      </c>
      <c r="P164">
        <v>0.03</v>
      </c>
      <c r="Q164" s="2">
        <f t="shared" si="22"/>
        <v>1.0832432000000001E-3</v>
      </c>
      <c r="R164">
        <f t="shared" si="23"/>
        <v>1.9000000000000001E-5</v>
      </c>
      <c r="S164">
        <v>57.012799999999999</v>
      </c>
      <c r="T164" s="19">
        <f t="shared" si="26"/>
        <v>4.1145923480090567E-3</v>
      </c>
    </row>
    <row r="165" spans="1:20" x14ac:dyDescent="0.35">
      <c r="A165" t="s">
        <v>183</v>
      </c>
      <c r="B165">
        <v>-77.297507999999993</v>
      </c>
      <c r="C165">
        <v>18.109580999999999</v>
      </c>
      <c r="D165" t="s">
        <v>129</v>
      </c>
      <c r="E165" t="s">
        <v>128</v>
      </c>
      <c r="F165" s="18">
        <f t="shared" si="24"/>
        <v>1.8159616191775927E-3</v>
      </c>
      <c r="G165">
        <v>40</v>
      </c>
      <c r="H165">
        <v>9.9881113062698895E-2</v>
      </c>
      <c r="I165">
        <f t="shared" si="21"/>
        <v>0.10214784107873959</v>
      </c>
      <c r="J165">
        <v>1600000</v>
      </c>
      <c r="K165">
        <v>1000</v>
      </c>
      <c r="L165">
        <v>18000</v>
      </c>
      <c r="M165">
        <v>5000</v>
      </c>
      <c r="N165" s="19">
        <f t="shared" si="25"/>
        <v>3.2536536554606309E-5</v>
      </c>
      <c r="O165">
        <v>0.19446491273097</v>
      </c>
      <c r="P165">
        <v>0.03</v>
      </c>
      <c r="Q165" s="2">
        <f t="shared" si="22"/>
        <v>4.8299140000000003E-4</v>
      </c>
      <c r="R165">
        <f t="shared" si="23"/>
        <v>1.9000000000000001E-5</v>
      </c>
      <c r="S165">
        <v>25.4206</v>
      </c>
      <c r="T165" s="19">
        <f t="shared" si="26"/>
        <v>2.3314895557321994E-3</v>
      </c>
    </row>
    <row r="166" spans="1:20" x14ac:dyDescent="0.35">
      <c r="A166" t="s">
        <v>184</v>
      </c>
      <c r="B166">
        <v>-102.552784</v>
      </c>
      <c r="C166">
        <v>23.634501</v>
      </c>
      <c r="D166" t="s">
        <v>129</v>
      </c>
      <c r="E166" t="s">
        <v>128</v>
      </c>
      <c r="F166" s="18">
        <f t="shared" si="24"/>
        <v>1.4111883001428958E-3</v>
      </c>
      <c r="G166">
        <v>40</v>
      </c>
      <c r="H166">
        <v>7.4976310929141907E-2</v>
      </c>
      <c r="I166">
        <f t="shared" si="21"/>
        <v>7.9379341883037899E-2</v>
      </c>
      <c r="J166">
        <v>1600000</v>
      </c>
      <c r="K166">
        <v>1000</v>
      </c>
      <c r="L166">
        <v>18000</v>
      </c>
      <c r="M166">
        <v>5000</v>
      </c>
      <c r="N166" s="19">
        <f t="shared" si="25"/>
        <v>2.5284223646657248E-5</v>
      </c>
      <c r="O166">
        <v>0.19446491273097</v>
      </c>
      <c r="P166">
        <v>0.03</v>
      </c>
      <c r="Q166" s="2">
        <f t="shared" si="22"/>
        <v>8.8610680000000006E-4</v>
      </c>
      <c r="R166">
        <f t="shared" si="23"/>
        <v>1.9000000000000001E-5</v>
      </c>
      <c r="S166">
        <v>46.6372</v>
      </c>
      <c r="T166" s="19">
        <f t="shared" si="26"/>
        <v>2.3225793237895533E-3</v>
      </c>
    </row>
    <row r="167" spans="1:20" x14ac:dyDescent="0.35">
      <c r="A167" t="s">
        <v>185</v>
      </c>
      <c r="B167">
        <v>-85.207228999999998</v>
      </c>
      <c r="C167">
        <v>12.865416</v>
      </c>
      <c r="D167" t="s">
        <v>129</v>
      </c>
      <c r="E167" t="s">
        <v>128</v>
      </c>
      <c r="F167" s="18">
        <f t="shared" si="24"/>
        <v>1.9318923935818168E-3</v>
      </c>
      <c r="G167">
        <v>40</v>
      </c>
      <c r="H167">
        <v>0.106791939896367</v>
      </c>
      <c r="I167">
        <f t="shared" si="21"/>
        <v>0.10866894713897721</v>
      </c>
      <c r="J167">
        <v>1600000</v>
      </c>
      <c r="K167">
        <v>1000</v>
      </c>
      <c r="L167">
        <v>18000</v>
      </c>
      <c r="M167">
        <v>5000</v>
      </c>
      <c r="N167" s="19">
        <f t="shared" si="25"/>
        <v>3.4613665189579941E-5</v>
      </c>
      <c r="O167">
        <v>0.19446491273097</v>
      </c>
      <c r="P167">
        <v>0.03</v>
      </c>
      <c r="Q167" s="2">
        <f t="shared" si="22"/>
        <v>9.121938E-4</v>
      </c>
      <c r="R167">
        <f t="shared" si="23"/>
        <v>1.9000000000000001E-5</v>
      </c>
      <c r="S167">
        <v>48.010199999999998</v>
      </c>
      <c r="T167" s="19">
        <f t="shared" si="26"/>
        <v>2.8786998587713966E-3</v>
      </c>
    </row>
    <row r="168" spans="1:20" x14ac:dyDescent="0.35">
      <c r="A168" t="s">
        <v>187</v>
      </c>
      <c r="B168">
        <v>-80.782127000000003</v>
      </c>
      <c r="C168">
        <v>8.5379810000000003</v>
      </c>
      <c r="D168" t="s">
        <v>129</v>
      </c>
      <c r="E168" t="s">
        <v>128</v>
      </c>
      <c r="F168" s="18">
        <f t="shared" si="24"/>
        <v>1.4757648828126119E-3</v>
      </c>
      <c r="G168">
        <v>40</v>
      </c>
      <c r="H168">
        <v>7.9054411415906606E-2</v>
      </c>
      <c r="I168">
        <f t="shared" si="21"/>
        <v>8.3011774658209414E-2</v>
      </c>
      <c r="J168">
        <v>1600000</v>
      </c>
      <c r="K168">
        <v>1000</v>
      </c>
      <c r="L168">
        <v>18000</v>
      </c>
      <c r="M168">
        <v>5000</v>
      </c>
      <c r="N168" s="19">
        <f t="shared" si="25"/>
        <v>2.644124057940295E-5</v>
      </c>
      <c r="O168">
        <v>0.19446491273097</v>
      </c>
      <c r="P168">
        <v>0.03</v>
      </c>
      <c r="Q168" s="2">
        <f t="shared" si="22"/>
        <v>1.0117157999999999E-3</v>
      </c>
      <c r="R168">
        <f t="shared" si="23"/>
        <v>1.9000000000000001E-5</v>
      </c>
      <c r="S168">
        <v>53.248199999999997</v>
      </c>
      <c r="T168" s="19">
        <f t="shared" si="26"/>
        <v>2.5139219233920149E-3</v>
      </c>
    </row>
    <row r="169" spans="1:20" x14ac:dyDescent="0.35">
      <c r="A169" t="s">
        <v>191</v>
      </c>
      <c r="B169">
        <v>-88.896529999999998</v>
      </c>
      <c r="C169">
        <v>13.794185000000001</v>
      </c>
      <c r="D169" t="s">
        <v>129</v>
      </c>
      <c r="E169" t="s">
        <v>128</v>
      </c>
      <c r="F169" s="18">
        <f t="shared" si="24"/>
        <v>2.2332190020168327E-3</v>
      </c>
      <c r="G169">
        <v>40</v>
      </c>
      <c r="H169">
        <v>0.12446728932260299</v>
      </c>
      <c r="I169">
        <f t="shared" si="21"/>
        <v>0.12561856886344683</v>
      </c>
      <c r="J169">
        <v>1600000</v>
      </c>
      <c r="K169">
        <v>1000</v>
      </c>
      <c r="L169">
        <v>18000</v>
      </c>
      <c r="M169">
        <v>5000</v>
      </c>
      <c r="N169" s="19">
        <f t="shared" si="25"/>
        <v>4.0012526105297696E-5</v>
      </c>
      <c r="O169">
        <v>0.19446491273097</v>
      </c>
      <c r="P169">
        <v>0.03</v>
      </c>
      <c r="Q169" s="2">
        <f t="shared" si="22"/>
        <v>1.0129526999999999E-3</v>
      </c>
      <c r="R169">
        <f t="shared" si="23"/>
        <v>1.9000000000000001E-5</v>
      </c>
      <c r="S169">
        <v>53.313299999999998</v>
      </c>
      <c r="T169" s="19">
        <f t="shared" si="26"/>
        <v>3.2861842281221303E-3</v>
      </c>
    </row>
    <row r="170" spans="1:20" x14ac:dyDescent="0.35">
      <c r="A170" t="s">
        <v>193</v>
      </c>
      <c r="B170">
        <v>-61.222503000000003</v>
      </c>
      <c r="C170">
        <v>10.691803</v>
      </c>
      <c r="D170" t="s">
        <v>129</v>
      </c>
      <c r="E170" t="s">
        <v>128</v>
      </c>
      <c r="F170" s="18">
        <f t="shared" si="24"/>
        <v>1.5671875929029213E-3</v>
      </c>
      <c r="G170">
        <v>40</v>
      </c>
      <c r="H170">
        <v>8.4749739435413696E-2</v>
      </c>
      <c r="I170">
        <f t="shared" si="21"/>
        <v>8.8154302100789311E-2</v>
      </c>
      <c r="J170">
        <v>1600000</v>
      </c>
      <c r="K170">
        <v>1000</v>
      </c>
      <c r="L170">
        <v>18000</v>
      </c>
      <c r="M170">
        <v>5000</v>
      </c>
      <c r="N170" s="19">
        <f t="shared" si="25"/>
        <v>2.8079258870847698E-5</v>
      </c>
      <c r="O170">
        <v>0.19446491273097</v>
      </c>
      <c r="P170">
        <v>0.03</v>
      </c>
      <c r="Q170" s="2">
        <f t="shared" si="22"/>
        <v>-7.7807280000000002E-5</v>
      </c>
      <c r="R170">
        <f t="shared" si="23"/>
        <v>1.9000000000000001E-5</v>
      </c>
      <c r="S170">
        <v>-4.0951199999999996</v>
      </c>
      <c r="T170" s="19">
        <f t="shared" si="26"/>
        <v>1.517459571773769E-3</v>
      </c>
    </row>
    <row r="171" spans="1:20" x14ac:dyDescent="0.35">
      <c r="A171" t="s">
        <v>195</v>
      </c>
      <c r="B171">
        <v>-85.584640930247701</v>
      </c>
      <c r="C171">
        <v>36.539755450886943</v>
      </c>
      <c r="D171" t="s">
        <v>129</v>
      </c>
      <c r="E171" t="s">
        <v>128</v>
      </c>
      <c r="F171" s="18">
        <f t="shared" si="24"/>
        <v>1.1694098073720205E-3</v>
      </c>
      <c r="G171">
        <v>40</v>
      </c>
      <c r="H171">
        <v>5.9184037905956798E-2</v>
      </c>
      <c r="I171">
        <f t="shared" si="21"/>
        <v>6.5779301664676146E-2</v>
      </c>
      <c r="J171">
        <v>1600000</v>
      </c>
      <c r="K171">
        <v>1000</v>
      </c>
      <c r="L171">
        <v>18000</v>
      </c>
      <c r="M171">
        <v>5000</v>
      </c>
      <c r="N171" s="19">
        <f t="shared" si="25"/>
        <v>4.100101471340089E-5</v>
      </c>
      <c r="O171">
        <v>1.33741923803092</v>
      </c>
      <c r="P171">
        <v>0.03</v>
      </c>
      <c r="Q171" s="2">
        <f t="shared" si="22"/>
        <v>9.9775649999999999E-4</v>
      </c>
      <c r="R171">
        <f t="shared" si="23"/>
        <v>1.9000000000000001E-5</v>
      </c>
      <c r="S171">
        <v>52.513500000000001</v>
      </c>
      <c r="T171" s="19">
        <f t="shared" si="26"/>
        <v>2.2081673220854213E-3</v>
      </c>
    </row>
    <row r="172" spans="1:20" x14ac:dyDescent="0.35">
      <c r="A172" t="s">
        <v>169</v>
      </c>
      <c r="B172">
        <v>147.39516457669899</v>
      </c>
      <c r="C172">
        <v>-27.878009142694776</v>
      </c>
      <c r="D172" t="s">
        <v>129</v>
      </c>
      <c r="E172" t="s">
        <v>128</v>
      </c>
      <c r="F172" s="18">
        <f t="shared" si="24"/>
        <v>1.1538476542416235E-3</v>
      </c>
      <c r="G172">
        <v>40</v>
      </c>
      <c r="H172">
        <v>5.8132742652375599E-2</v>
      </c>
      <c r="I172">
        <f t="shared" si="21"/>
        <v>6.4903930551091324E-2</v>
      </c>
      <c r="J172">
        <v>1600000</v>
      </c>
      <c r="K172">
        <v>1000</v>
      </c>
      <c r="L172">
        <v>18000</v>
      </c>
      <c r="M172">
        <v>5000</v>
      </c>
      <c r="N172" s="19">
        <f t="shared" si="25"/>
        <v>3.2402822270204284E-5</v>
      </c>
      <c r="O172">
        <v>0.87216063005020805</v>
      </c>
      <c r="P172">
        <v>0.03</v>
      </c>
      <c r="Q172" s="2">
        <f t="shared" si="22"/>
        <v>1.1473644E-3</v>
      </c>
      <c r="R172">
        <f t="shared" si="23"/>
        <v>1.9000000000000001E-5</v>
      </c>
      <c r="S172">
        <v>60.387599999999999</v>
      </c>
      <c r="T172" s="19">
        <f t="shared" si="26"/>
        <v>2.3336148765118279E-3</v>
      </c>
    </row>
    <row r="173" spans="1:20" x14ac:dyDescent="0.35">
      <c r="A173" t="s">
        <v>316</v>
      </c>
      <c r="B173">
        <v>179.414413</v>
      </c>
      <c r="C173">
        <v>-16.578192999999999</v>
      </c>
      <c r="D173" t="s">
        <v>129</v>
      </c>
      <c r="E173" t="s">
        <v>128</v>
      </c>
      <c r="F173" s="18">
        <f t="shared" si="24"/>
        <v>1.9318923935818168E-3</v>
      </c>
      <c r="G173">
        <v>40</v>
      </c>
      <c r="H173">
        <f>MAX($H$172,$H$174:$H$175)</f>
        <v>0.106791939896367</v>
      </c>
      <c r="I173">
        <f t="shared" si="21"/>
        <v>0.10866894713897721</v>
      </c>
      <c r="J173">
        <v>1600000</v>
      </c>
      <c r="K173">
        <v>1000</v>
      </c>
      <c r="L173">
        <v>18000</v>
      </c>
      <c r="M173">
        <v>5000</v>
      </c>
      <c r="N173" s="19">
        <f t="shared" si="25"/>
        <v>5.4252193211360073E-5</v>
      </c>
      <c r="O173">
        <v>0.87216063005020805</v>
      </c>
      <c r="P173">
        <v>0.03</v>
      </c>
      <c r="Q173" s="2">
        <f t="shared" si="22"/>
        <v>1.1473644E-3</v>
      </c>
      <c r="R173">
        <f t="shared" si="23"/>
        <v>1.9000000000000001E-5</v>
      </c>
      <c r="S173">
        <v>60.387599999999999</v>
      </c>
      <c r="T173" s="19">
        <f t="shared" si="26"/>
        <v>3.1335089867931768E-3</v>
      </c>
    </row>
    <row r="174" spans="1:20" x14ac:dyDescent="0.35">
      <c r="A174" t="s">
        <v>186</v>
      </c>
      <c r="B174">
        <v>174.70772600000001</v>
      </c>
      <c r="C174">
        <v>-41.287447</v>
      </c>
      <c r="D174" t="s">
        <v>129</v>
      </c>
      <c r="E174" t="s">
        <v>128</v>
      </c>
      <c r="F174" s="18">
        <f t="shared" si="24"/>
        <v>1.1600637288273629E-3</v>
      </c>
      <c r="G174">
        <v>40</v>
      </c>
      <c r="H174">
        <v>5.8553260753808102E-2</v>
      </c>
      <c r="I174">
        <f t="shared" si="21"/>
        <v>6.5253584746539167E-2</v>
      </c>
      <c r="J174">
        <v>1600000</v>
      </c>
      <c r="K174">
        <v>1000</v>
      </c>
      <c r="L174">
        <v>18000</v>
      </c>
      <c r="M174">
        <v>5000</v>
      </c>
      <c r="N174" s="19">
        <f t="shared" si="25"/>
        <v>3.2577384621897438E-5</v>
      </c>
      <c r="O174">
        <v>0.87216063005020805</v>
      </c>
      <c r="P174">
        <v>0.03</v>
      </c>
      <c r="Q174" s="2">
        <f t="shared" si="22"/>
        <v>9.5586530000000007E-4</v>
      </c>
      <c r="R174">
        <f t="shared" si="23"/>
        <v>1.9000000000000001E-5</v>
      </c>
      <c r="S174">
        <v>50.308700000000002</v>
      </c>
      <c r="T174" s="19">
        <f t="shared" si="26"/>
        <v>2.1485064134492606E-3</v>
      </c>
    </row>
    <row r="175" spans="1:20" x14ac:dyDescent="0.35">
      <c r="A175" t="s">
        <v>189</v>
      </c>
      <c r="B175">
        <v>143.95554999999999</v>
      </c>
      <c r="C175">
        <v>-6.3149930000000003</v>
      </c>
      <c r="D175" t="s">
        <v>129</v>
      </c>
      <c r="E175" t="s">
        <v>128</v>
      </c>
      <c r="F175" s="18">
        <f t="shared" si="24"/>
        <v>1.9318923935818168E-3</v>
      </c>
      <c r="G175">
        <v>40</v>
      </c>
      <c r="H175">
        <v>0.106791939896367</v>
      </c>
      <c r="I175">
        <f t="shared" si="21"/>
        <v>0.10866894713897721</v>
      </c>
      <c r="J175">
        <v>1600000</v>
      </c>
      <c r="K175">
        <v>1000</v>
      </c>
      <c r="L175">
        <v>18000</v>
      </c>
      <c r="M175">
        <v>5000</v>
      </c>
      <c r="N175" s="19">
        <f t="shared" si="25"/>
        <v>5.4252193211360073E-5</v>
      </c>
      <c r="O175">
        <v>0.87216063005020805</v>
      </c>
      <c r="P175">
        <v>0.03</v>
      </c>
      <c r="Q175" s="2">
        <f t="shared" si="22"/>
        <v>1.2093424000000001E-3</v>
      </c>
      <c r="R175">
        <f t="shared" si="23"/>
        <v>1.9000000000000001E-5</v>
      </c>
      <c r="S175">
        <v>63.6496</v>
      </c>
      <c r="T175" s="19">
        <f t="shared" si="26"/>
        <v>3.1954869867931771E-3</v>
      </c>
    </row>
    <row r="176" spans="1:20" x14ac:dyDescent="0.35">
      <c r="A176" t="s">
        <v>168</v>
      </c>
      <c r="B176">
        <v>-63.616672000000001</v>
      </c>
      <c r="C176">
        <v>-38.416097000000001</v>
      </c>
      <c r="D176" t="s">
        <v>129</v>
      </c>
      <c r="E176" t="s">
        <v>128</v>
      </c>
      <c r="F176" s="18">
        <f t="shared" si="24"/>
        <v>2.8678464228067873E-3</v>
      </c>
      <c r="G176">
        <v>40</v>
      </c>
      <c r="H176">
        <v>0.16090347161030799</v>
      </c>
      <c r="I176">
        <f t="shared" si="21"/>
        <v>0.16131636128288179</v>
      </c>
      <c r="J176">
        <v>1600000</v>
      </c>
      <c r="K176">
        <v>1000</v>
      </c>
      <c r="L176">
        <v>18000</v>
      </c>
      <c r="M176">
        <v>5000</v>
      </c>
      <c r="N176" s="19">
        <f t="shared" si="25"/>
        <v>4.6991924804842357E-5</v>
      </c>
      <c r="O176">
        <v>9.2385896983770796E-2</v>
      </c>
      <c r="P176">
        <v>0.03</v>
      </c>
      <c r="Q176" s="2">
        <f t="shared" si="22"/>
        <v>8.8334040000000006E-4</v>
      </c>
      <c r="R176">
        <f t="shared" si="23"/>
        <v>1.9000000000000001E-5</v>
      </c>
      <c r="S176">
        <v>46.491599999999998</v>
      </c>
      <c r="T176" s="19">
        <f t="shared" si="26"/>
        <v>3.7981787476116294E-3</v>
      </c>
    </row>
    <row r="177" spans="1:20" x14ac:dyDescent="0.35">
      <c r="A177" t="s">
        <v>170</v>
      </c>
      <c r="B177">
        <v>-63.588653000000001</v>
      </c>
      <c r="C177">
        <v>-16.290154000000001</v>
      </c>
      <c r="D177" t="s">
        <v>129</v>
      </c>
      <c r="E177" t="s">
        <v>128</v>
      </c>
      <c r="F177" s="18">
        <f t="shared" si="24"/>
        <v>2.6698397179991552E-3</v>
      </c>
      <c r="G177">
        <v>40</v>
      </c>
      <c r="H177">
        <v>0.149610176178509</v>
      </c>
      <c r="I177">
        <f t="shared" si="21"/>
        <v>0.15017848413745249</v>
      </c>
      <c r="J177">
        <v>1600000</v>
      </c>
      <c r="K177">
        <v>1000</v>
      </c>
      <c r="L177">
        <v>18000</v>
      </c>
      <c r="M177">
        <v>5000</v>
      </c>
      <c r="N177" s="19">
        <f t="shared" si="25"/>
        <v>4.3747428827241064E-5</v>
      </c>
      <c r="O177">
        <v>9.2385896983770796E-2</v>
      </c>
      <c r="P177">
        <v>0.03</v>
      </c>
      <c r="Q177" s="2">
        <f t="shared" si="22"/>
        <v>8.4762230000000002E-4</v>
      </c>
      <c r="R177">
        <f t="shared" si="23"/>
        <v>1.9000000000000001E-5</v>
      </c>
      <c r="S177">
        <v>44.611699999999999</v>
      </c>
      <c r="T177" s="19">
        <f t="shared" si="26"/>
        <v>3.5612094468263958E-3</v>
      </c>
    </row>
    <row r="178" spans="1:20" x14ac:dyDescent="0.35">
      <c r="A178" t="s">
        <v>171</v>
      </c>
      <c r="B178">
        <v>-52.78887733471155</v>
      </c>
      <c r="C178">
        <v>-13.407301360579195</v>
      </c>
      <c r="D178" t="s">
        <v>129</v>
      </c>
      <c r="E178" t="s">
        <v>128</v>
      </c>
      <c r="F178" s="18">
        <f t="shared" si="24"/>
        <v>1.5460514782971385E-3</v>
      </c>
      <c r="G178">
        <v>40</v>
      </c>
      <c r="H178">
        <v>8.3440522611718804E-2</v>
      </c>
      <c r="I178">
        <f t="shared" si="21"/>
        <v>8.6965395654214045E-2</v>
      </c>
      <c r="J178">
        <v>1600000</v>
      </c>
      <c r="K178">
        <v>1000</v>
      </c>
      <c r="L178">
        <v>18000</v>
      </c>
      <c r="M178">
        <v>5000</v>
      </c>
      <c r="N178" s="19">
        <f t="shared" si="25"/>
        <v>2.5333272463540566E-5</v>
      </c>
      <c r="O178">
        <v>9.2385896983770796E-2</v>
      </c>
      <c r="P178">
        <v>0.03</v>
      </c>
      <c r="Q178" s="2">
        <f t="shared" si="22"/>
        <v>8.4035860000000002E-4</v>
      </c>
      <c r="R178">
        <f t="shared" si="23"/>
        <v>1.9000000000000001E-5</v>
      </c>
      <c r="S178">
        <v>44.229399999999998</v>
      </c>
      <c r="T178" s="19">
        <f t="shared" si="26"/>
        <v>2.4117433507606792E-3</v>
      </c>
    </row>
    <row r="179" spans="1:20" x14ac:dyDescent="0.35">
      <c r="A179" t="s">
        <v>173</v>
      </c>
      <c r="B179">
        <v>-71.542968999999999</v>
      </c>
      <c r="C179">
        <v>-35.675147000000003</v>
      </c>
      <c r="D179" t="s">
        <v>129</v>
      </c>
      <c r="E179" t="s">
        <v>128</v>
      </c>
      <c r="F179" s="18">
        <f t="shared" si="24"/>
        <v>1.2773253022618362E-3</v>
      </c>
      <c r="G179">
        <v>40</v>
      </c>
      <c r="H179">
        <v>6.6348306999460094E-2</v>
      </c>
      <c r="I179">
        <f t="shared" si="21"/>
        <v>7.1849548252228279E-2</v>
      </c>
      <c r="J179">
        <v>1600000</v>
      </c>
      <c r="K179">
        <v>1000</v>
      </c>
      <c r="L179">
        <v>18000</v>
      </c>
      <c r="M179">
        <v>5000</v>
      </c>
      <c r="N179" s="19">
        <f t="shared" si="25"/>
        <v>2.0929982190770429E-5</v>
      </c>
      <c r="O179">
        <v>9.2385896983770796E-2</v>
      </c>
      <c r="P179">
        <v>0.03</v>
      </c>
      <c r="Q179" s="2">
        <f t="shared" si="22"/>
        <v>7.0282520000000009E-4</v>
      </c>
      <c r="R179">
        <f t="shared" si="23"/>
        <v>1.9000000000000001E-5</v>
      </c>
      <c r="S179">
        <v>36.9908</v>
      </c>
      <c r="T179" s="19">
        <f t="shared" si="26"/>
        <v>2.0010804844526066E-3</v>
      </c>
    </row>
    <row r="180" spans="1:20" x14ac:dyDescent="0.35">
      <c r="A180" t="s">
        <v>174</v>
      </c>
      <c r="B180">
        <v>-74.297332999999995</v>
      </c>
      <c r="C180">
        <v>4.5708679999999999</v>
      </c>
      <c r="D180" t="s">
        <v>129</v>
      </c>
      <c r="E180" t="s">
        <v>128</v>
      </c>
      <c r="F180" s="18">
        <f t="shared" si="24"/>
        <v>1.38886434073491E-3</v>
      </c>
      <c r="G180">
        <v>40</v>
      </c>
      <c r="H180">
        <v>7.3554677489162001E-2</v>
      </c>
      <c r="I180">
        <f t="shared" si="21"/>
        <v>7.8123619166338684E-2</v>
      </c>
      <c r="J180">
        <v>1600000</v>
      </c>
      <c r="K180">
        <v>1000</v>
      </c>
      <c r="L180">
        <v>18000</v>
      </c>
      <c r="M180">
        <v>5000</v>
      </c>
      <c r="N180" s="19">
        <f t="shared" si="25"/>
        <v>2.2757637279637172E-5</v>
      </c>
      <c r="O180">
        <v>9.2385896983770796E-2</v>
      </c>
      <c r="P180">
        <v>0.03</v>
      </c>
      <c r="Q180" s="2">
        <f t="shared" si="22"/>
        <v>8.9747640000000005E-4</v>
      </c>
      <c r="R180">
        <f t="shared" si="23"/>
        <v>1.9000000000000001E-5</v>
      </c>
      <c r="S180">
        <v>47.235599999999998</v>
      </c>
      <c r="T180" s="19">
        <f t="shared" si="26"/>
        <v>2.3090983780145471E-3</v>
      </c>
    </row>
    <row r="181" spans="1:20" x14ac:dyDescent="0.35">
      <c r="A181" t="s">
        <v>178</v>
      </c>
      <c r="B181">
        <v>-78.183406000000005</v>
      </c>
      <c r="C181">
        <v>-1.8312390000000001</v>
      </c>
      <c r="D181" t="s">
        <v>129</v>
      </c>
      <c r="E181" t="s">
        <v>128</v>
      </c>
      <c r="F181" s="18">
        <f t="shared" si="24"/>
        <v>2.6698397179991552E-3</v>
      </c>
      <c r="G181">
        <v>40</v>
      </c>
      <c r="H181">
        <v>0.149610176178509</v>
      </c>
      <c r="I181">
        <f t="shared" si="21"/>
        <v>0.15017848413745249</v>
      </c>
      <c r="J181">
        <v>1600000</v>
      </c>
      <c r="K181">
        <v>1000</v>
      </c>
      <c r="L181">
        <v>18000</v>
      </c>
      <c r="M181">
        <v>5000</v>
      </c>
      <c r="N181" s="19">
        <f t="shared" si="25"/>
        <v>4.3747428827241064E-5</v>
      </c>
      <c r="O181">
        <v>9.2385896983770796E-2</v>
      </c>
      <c r="P181">
        <v>0.03</v>
      </c>
      <c r="Q181" s="2">
        <f t="shared" si="22"/>
        <v>9.3338640000000005E-4</v>
      </c>
      <c r="R181">
        <f t="shared" si="23"/>
        <v>1.9000000000000001E-5</v>
      </c>
      <c r="S181">
        <v>49.125599999999999</v>
      </c>
      <c r="T181" s="19">
        <f t="shared" si="26"/>
        <v>3.6469735468263962E-3</v>
      </c>
    </row>
    <row r="182" spans="1:20" x14ac:dyDescent="0.35">
      <c r="A182" t="s">
        <v>317</v>
      </c>
      <c r="B182">
        <v>-53.125782000000001</v>
      </c>
      <c r="C182">
        <v>3.9338890000000002</v>
      </c>
      <c r="D182" t="s">
        <v>129</v>
      </c>
      <c r="E182" t="s">
        <v>128</v>
      </c>
      <c r="F182" s="18">
        <f t="shared" si="24"/>
        <v>1.2362645250341422E-3</v>
      </c>
      <c r="G182">
        <v>40</v>
      </c>
      <c r="H182">
        <f>H115</f>
        <v>6.3646902544555198E-2</v>
      </c>
      <c r="I182">
        <f t="shared" si="21"/>
        <v>6.9539879533170493E-2</v>
      </c>
      <c r="J182">
        <v>1600000</v>
      </c>
      <c r="K182">
        <v>1000</v>
      </c>
      <c r="L182">
        <v>18000</v>
      </c>
      <c r="M182">
        <v>5000</v>
      </c>
      <c r="N182" s="19">
        <f t="shared" si="25"/>
        <v>2.0257168981329552E-5</v>
      </c>
      <c r="O182">
        <v>9.2385896983770796E-2</v>
      </c>
      <c r="P182">
        <v>0.03</v>
      </c>
      <c r="Q182" s="2">
        <f t="shared" si="22"/>
        <v>9.3338640000000005E-4</v>
      </c>
      <c r="R182">
        <f t="shared" si="23"/>
        <v>1.9000000000000001E-5</v>
      </c>
      <c r="S182">
        <v>49.125599999999999</v>
      </c>
      <c r="T182" s="19">
        <f t="shared" si="26"/>
        <v>2.1899080940154716E-3</v>
      </c>
    </row>
    <row r="183" spans="1:20" x14ac:dyDescent="0.35">
      <c r="A183" t="s">
        <v>180</v>
      </c>
      <c r="B183">
        <v>-58.93018</v>
      </c>
      <c r="C183">
        <v>4.8604159999999998</v>
      </c>
      <c r="D183" t="s">
        <v>129</v>
      </c>
      <c r="E183" t="s">
        <v>128</v>
      </c>
      <c r="F183" s="18">
        <f t="shared" si="24"/>
        <v>1.3750780946694895E-3</v>
      </c>
      <c r="G183">
        <v>40</v>
      </c>
      <c r="H183">
        <v>7.2673507948812402E-2</v>
      </c>
      <c r="I183">
        <f t="shared" si="21"/>
        <v>7.7348142825158783E-2</v>
      </c>
      <c r="J183">
        <v>1600000</v>
      </c>
      <c r="K183">
        <v>1000</v>
      </c>
      <c r="L183">
        <v>18000</v>
      </c>
      <c r="M183">
        <v>5000</v>
      </c>
      <c r="N183" s="19">
        <f t="shared" si="25"/>
        <v>2.2531738768023967E-5</v>
      </c>
      <c r="O183">
        <v>9.2385896983770796E-2</v>
      </c>
      <c r="P183">
        <v>0.03</v>
      </c>
      <c r="Q183" s="2">
        <f t="shared" si="22"/>
        <v>7.8938730000000011E-4</v>
      </c>
      <c r="R183">
        <f t="shared" si="23"/>
        <v>1.9000000000000001E-5</v>
      </c>
      <c r="S183">
        <v>41.546700000000001</v>
      </c>
      <c r="T183" s="19">
        <f t="shared" si="26"/>
        <v>2.1869971334375136E-3</v>
      </c>
    </row>
    <row r="184" spans="1:20" x14ac:dyDescent="0.35">
      <c r="A184" t="s">
        <v>188</v>
      </c>
      <c r="B184">
        <v>-75.015152</v>
      </c>
      <c r="C184">
        <v>-9.1899669999999993</v>
      </c>
      <c r="D184" t="s">
        <v>129</v>
      </c>
      <c r="E184" t="s">
        <v>128</v>
      </c>
      <c r="F184" s="18">
        <f t="shared" si="24"/>
        <v>1.3709512527366212E-3</v>
      </c>
      <c r="G184">
        <v>40</v>
      </c>
      <c r="H184">
        <v>7.2409241838074706E-2</v>
      </c>
      <c r="I184">
        <f t="shared" si="21"/>
        <v>7.7116007966434946E-2</v>
      </c>
      <c r="J184">
        <v>1600000</v>
      </c>
      <c r="K184">
        <v>1000</v>
      </c>
      <c r="L184">
        <v>18000</v>
      </c>
      <c r="M184">
        <v>5000</v>
      </c>
      <c r="N184" s="19">
        <f t="shared" si="25"/>
        <v>2.2464117209125771E-5</v>
      </c>
      <c r="O184">
        <v>9.2385896983770796E-2</v>
      </c>
      <c r="P184">
        <v>0.03</v>
      </c>
      <c r="Q184" s="2">
        <f t="shared" si="22"/>
        <v>8.9339520000000002E-4</v>
      </c>
      <c r="R184">
        <f t="shared" si="23"/>
        <v>1.9000000000000001E-5</v>
      </c>
      <c r="S184">
        <v>47.020800000000001</v>
      </c>
      <c r="T184" s="19">
        <f t="shared" si="26"/>
        <v>2.2868105699457471E-3</v>
      </c>
    </row>
    <row r="185" spans="1:20" x14ac:dyDescent="0.35">
      <c r="A185" t="s">
        <v>190</v>
      </c>
      <c r="B185">
        <v>-58.443832</v>
      </c>
      <c r="C185">
        <v>-23.442502999999999</v>
      </c>
      <c r="D185" t="s">
        <v>129</v>
      </c>
      <c r="E185" t="s">
        <v>128</v>
      </c>
      <c r="F185" s="18">
        <f t="shared" si="24"/>
        <v>1.5944429140238039E-3</v>
      </c>
      <c r="G185">
        <v>40</v>
      </c>
      <c r="H185">
        <v>8.6431801307212397E-2</v>
      </c>
      <c r="I185">
        <f t="shared" si="21"/>
        <v>8.968741391383897E-2</v>
      </c>
      <c r="J185">
        <v>1600000</v>
      </c>
      <c r="K185">
        <v>1000</v>
      </c>
      <c r="L185">
        <v>18000</v>
      </c>
      <c r="M185">
        <v>5000</v>
      </c>
      <c r="N185" s="19">
        <f t="shared" si="25"/>
        <v>2.6126204292379654E-5</v>
      </c>
      <c r="O185">
        <v>9.2385896983770796E-2</v>
      </c>
      <c r="P185">
        <v>0.03</v>
      </c>
      <c r="Q185" s="2">
        <f t="shared" si="22"/>
        <v>8.3092699999999997E-4</v>
      </c>
      <c r="R185">
        <f t="shared" si="23"/>
        <v>1.9000000000000001E-5</v>
      </c>
      <c r="S185">
        <v>43.732999999999997</v>
      </c>
      <c r="T185" s="19">
        <f t="shared" si="26"/>
        <v>2.4514961183161833E-3</v>
      </c>
    </row>
    <row r="186" spans="1:20" x14ac:dyDescent="0.35">
      <c r="A186" t="s">
        <v>192</v>
      </c>
      <c r="B186">
        <v>-56.027782999999999</v>
      </c>
      <c r="C186">
        <v>3.919305</v>
      </c>
      <c r="D186" t="s">
        <v>129</v>
      </c>
      <c r="E186" t="s">
        <v>128</v>
      </c>
      <c r="F186" s="18">
        <f t="shared" si="24"/>
        <v>2.5546998549591379E-3</v>
      </c>
      <c r="G186">
        <v>40</v>
      </c>
      <c r="H186">
        <v>0.14301740592571799</v>
      </c>
      <c r="I186">
        <f t="shared" si="21"/>
        <v>0.1437018668414515</v>
      </c>
      <c r="J186">
        <v>1600000</v>
      </c>
      <c r="K186">
        <v>1000</v>
      </c>
      <c r="L186">
        <v>18000</v>
      </c>
      <c r="M186">
        <v>5000</v>
      </c>
      <c r="N186" s="19">
        <f t="shared" si="25"/>
        <v>4.1860771388757702E-5</v>
      </c>
      <c r="O186">
        <v>9.2385896983770796E-2</v>
      </c>
      <c r="P186">
        <v>0.03</v>
      </c>
      <c r="Q186" s="2">
        <f t="shared" si="22"/>
        <v>8.0879960000000001E-4</v>
      </c>
      <c r="R186">
        <f t="shared" si="23"/>
        <v>1.9000000000000001E-5</v>
      </c>
      <c r="S186">
        <v>42.568399999999997</v>
      </c>
      <c r="T186" s="19">
        <f t="shared" si="26"/>
        <v>3.4053602263478958E-3</v>
      </c>
    </row>
    <row r="187" spans="1:20" x14ac:dyDescent="0.35">
      <c r="A187" t="s">
        <v>194</v>
      </c>
      <c r="B187">
        <v>-55.765835000000003</v>
      </c>
      <c r="C187">
        <v>-32.522779</v>
      </c>
      <c r="D187" t="s">
        <v>129</v>
      </c>
      <c r="E187" t="s">
        <v>128</v>
      </c>
      <c r="F187" s="18">
        <f t="shared" si="24"/>
        <v>1.3901263948966915E-3</v>
      </c>
      <c r="G187">
        <v>40</v>
      </c>
      <c r="H187">
        <v>7.3635218640465794E-2</v>
      </c>
      <c r="I187">
        <f t="shared" si="21"/>
        <v>7.8194609712938901E-2</v>
      </c>
      <c r="J187">
        <v>1600000</v>
      </c>
      <c r="K187">
        <v>1000</v>
      </c>
      <c r="L187">
        <v>18000</v>
      </c>
      <c r="M187">
        <v>5000</v>
      </c>
      <c r="N187" s="19">
        <f t="shared" si="25"/>
        <v>2.2778317032150567E-5</v>
      </c>
      <c r="O187">
        <v>9.2385896983770796E-2</v>
      </c>
      <c r="P187">
        <v>0.03</v>
      </c>
      <c r="Q187" s="2">
        <f t="shared" si="22"/>
        <v>8.6590980000000005E-4</v>
      </c>
      <c r="R187">
        <f t="shared" si="23"/>
        <v>1.9000000000000001E-5</v>
      </c>
      <c r="S187">
        <v>45.574199999999998</v>
      </c>
      <c r="T187" s="19">
        <f t="shared" si="26"/>
        <v>2.2788145119288423E-3</v>
      </c>
    </row>
    <row r="188" spans="1:20" x14ac:dyDescent="0.35">
      <c r="A188" t="s">
        <v>196</v>
      </c>
      <c r="B188">
        <v>-66.589730000000003</v>
      </c>
      <c r="C188">
        <v>6.4237500000000001</v>
      </c>
      <c r="D188" t="s">
        <v>129</v>
      </c>
      <c r="E188" t="s">
        <v>128</v>
      </c>
      <c r="F188" s="18">
        <f t="shared" si="24"/>
        <v>3.8935939153929241E-3</v>
      </c>
      <c r="G188">
        <v>40</v>
      </c>
      <c r="H188">
        <v>0.21893499571487601</v>
      </c>
      <c r="I188">
        <f t="shared" si="21"/>
        <v>0.21901465774085199</v>
      </c>
      <c r="J188">
        <v>1600000</v>
      </c>
      <c r="K188">
        <v>1000</v>
      </c>
      <c r="L188">
        <v>18000</v>
      </c>
      <c r="M188">
        <v>5000</v>
      </c>
      <c r="N188" s="19">
        <f t="shared" si="25"/>
        <v>6.3799606226355767E-5</v>
      </c>
      <c r="O188">
        <v>9.2385896983770796E-2</v>
      </c>
      <c r="P188">
        <v>0.03</v>
      </c>
      <c r="Q188" s="2">
        <f t="shared" si="22"/>
        <v>2.2582260000000002E-4</v>
      </c>
      <c r="R188">
        <f t="shared" si="23"/>
        <v>1.9000000000000001E-5</v>
      </c>
      <c r="S188">
        <v>11.885400000000001</v>
      </c>
      <c r="T188" s="19">
        <f t="shared" si="26"/>
        <v>4.1832161216192798E-3</v>
      </c>
    </row>
    <row r="189" spans="1:20" x14ac:dyDescent="0.35">
      <c r="F189" s="18"/>
    </row>
    <row r="190" spans="1:20" x14ac:dyDescent="0.35">
      <c r="F190" s="18"/>
    </row>
    <row r="191" spans="1:20" x14ac:dyDescent="0.35">
      <c r="F191" s="18"/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4178-AF6D-4660-B670-990A58F9585F}">
  <dimension ref="A1:AW180"/>
  <sheetViews>
    <sheetView zoomScaleNormal="100" workbookViewId="0">
      <selection activeCell="D10" sqref="D10"/>
    </sheetView>
  </sheetViews>
  <sheetFormatPr baseColWidth="10" defaultRowHeight="14.5" x14ac:dyDescent="0.35"/>
  <cols>
    <col min="1" max="1" width="27.81640625" bestFit="1" customWidth="1"/>
    <col min="2" max="2" width="14.6328125" customWidth="1"/>
    <col min="5" max="5" width="11.81640625" bestFit="1" customWidth="1"/>
  </cols>
  <sheetData>
    <row r="1" spans="1:16" x14ac:dyDescent="0.35">
      <c r="A1" t="s">
        <v>430</v>
      </c>
    </row>
    <row r="2" spans="1:16" x14ac:dyDescent="0.35">
      <c r="A2" t="s">
        <v>429</v>
      </c>
      <c r="B2" t="s">
        <v>502</v>
      </c>
      <c r="C2" t="s">
        <v>118</v>
      </c>
      <c r="D2" s="35">
        <v>11.2</v>
      </c>
      <c r="E2" s="34">
        <f>(F2+D2)/2</f>
        <v>11.5</v>
      </c>
      <c r="F2" s="35">
        <v>11.8</v>
      </c>
      <c r="H2" s="29"/>
    </row>
    <row r="3" spans="1:16" x14ac:dyDescent="0.35">
      <c r="B3" t="s">
        <v>503</v>
      </c>
      <c r="C3" t="s">
        <v>118</v>
      </c>
      <c r="D3" s="32">
        <f>42.7/3.6</f>
        <v>11.861111111111112</v>
      </c>
      <c r="E3" s="34">
        <f t="shared" ref="E3:E6" si="0">(F3+D3)/2</f>
        <v>11.902777777777779</v>
      </c>
      <c r="F3" s="32">
        <f>43/3600*1000</f>
        <v>11.944444444444445</v>
      </c>
      <c r="H3" s="29" t="s">
        <v>508</v>
      </c>
    </row>
    <row r="4" spans="1:16" x14ac:dyDescent="0.35">
      <c r="B4" t="s">
        <v>505</v>
      </c>
      <c r="C4" t="s">
        <v>118</v>
      </c>
      <c r="D4" s="35">
        <v>11.22</v>
      </c>
      <c r="E4" s="34">
        <f t="shared" si="0"/>
        <v>11.414999999999999</v>
      </c>
      <c r="F4" s="35">
        <v>11.61</v>
      </c>
      <c r="H4" s="29" t="s">
        <v>509</v>
      </c>
    </row>
    <row r="5" spans="1:16" x14ac:dyDescent="0.35">
      <c r="B5" t="s">
        <v>506</v>
      </c>
      <c r="C5" t="s">
        <v>118</v>
      </c>
      <c r="D5" s="32">
        <f>38.3/3.6</f>
        <v>10.638888888888888</v>
      </c>
      <c r="E5" s="34">
        <f t="shared" si="0"/>
        <v>10.930555555555554</v>
      </c>
      <c r="F5" s="32">
        <f>40.4/3600*1000</f>
        <v>11.222222222222221</v>
      </c>
      <c r="H5" s="29" t="s">
        <v>508</v>
      </c>
    </row>
    <row r="6" spans="1:16" x14ac:dyDescent="0.35">
      <c r="B6" t="s">
        <v>507</v>
      </c>
      <c r="C6" t="s">
        <v>118</v>
      </c>
      <c r="D6" s="32">
        <f>48/3600*1000</f>
        <v>13.333333333333334</v>
      </c>
      <c r="E6" s="34">
        <f t="shared" si="0"/>
        <v>13.472222222222221</v>
      </c>
      <c r="F6" s="32">
        <f>49/3600*1000</f>
        <v>13.611111111111111</v>
      </c>
      <c r="H6" s="29" t="s">
        <v>508</v>
      </c>
    </row>
    <row r="7" spans="1:16" x14ac:dyDescent="0.35">
      <c r="A7" t="s">
        <v>117</v>
      </c>
      <c r="B7" t="s">
        <v>616</v>
      </c>
      <c r="C7" t="s">
        <v>118</v>
      </c>
      <c r="D7" s="2">
        <v>33.33</v>
      </c>
      <c r="E7" t="s">
        <v>119</v>
      </c>
      <c r="F7" s="3">
        <v>2.2999999999999998</v>
      </c>
      <c r="G7" t="str">
        <f>"-253°C"</f>
        <v>-253°C</v>
      </c>
      <c r="H7" t="s">
        <v>121</v>
      </c>
      <c r="O7" s="2" t="s">
        <v>20</v>
      </c>
      <c r="P7" s="15" t="s">
        <v>511</v>
      </c>
    </row>
    <row r="8" spans="1:16" x14ac:dyDescent="0.35">
      <c r="A8" t="s">
        <v>117</v>
      </c>
      <c r="B8" t="s">
        <v>105</v>
      </c>
      <c r="C8" t="s">
        <v>118</v>
      </c>
      <c r="D8" s="2">
        <v>33.33</v>
      </c>
      <c r="E8" t="s">
        <v>119</v>
      </c>
      <c r="F8" s="3">
        <v>1.4</v>
      </c>
      <c r="G8" t="s">
        <v>120</v>
      </c>
      <c r="H8" t="s">
        <v>121</v>
      </c>
      <c r="O8" s="3" t="s">
        <v>35</v>
      </c>
      <c r="P8" s="21" t="s">
        <v>511</v>
      </c>
    </row>
    <row r="9" spans="1:16" x14ac:dyDescent="0.35">
      <c r="A9" t="s">
        <v>117</v>
      </c>
      <c r="B9" t="s">
        <v>615</v>
      </c>
      <c r="C9" t="s">
        <v>118</v>
      </c>
      <c r="D9" s="2">
        <v>5.2</v>
      </c>
      <c r="E9" t="s">
        <v>119</v>
      </c>
      <c r="F9" s="3">
        <v>3.6</v>
      </c>
      <c r="H9" t="s">
        <v>121</v>
      </c>
      <c r="O9" s="4" t="s">
        <v>21</v>
      </c>
      <c r="P9" s="37" t="s">
        <v>511</v>
      </c>
    </row>
    <row r="10" spans="1:16" x14ac:dyDescent="0.35">
      <c r="A10" t="s">
        <v>117</v>
      </c>
      <c r="B10" t="s">
        <v>617</v>
      </c>
      <c r="C10" t="s">
        <v>118</v>
      </c>
      <c r="D10" s="2">
        <v>5.5</v>
      </c>
      <c r="E10" t="s">
        <v>119</v>
      </c>
      <c r="F10" s="3">
        <v>4.4000000000000004</v>
      </c>
      <c r="O10" s="14" t="s">
        <v>91</v>
      </c>
      <c r="P10" s="38" t="s">
        <v>511</v>
      </c>
    </row>
    <row r="11" spans="1:16" x14ac:dyDescent="0.35">
      <c r="A11" t="s">
        <v>117</v>
      </c>
      <c r="B11" t="s">
        <v>124</v>
      </c>
      <c r="C11" t="s">
        <v>118</v>
      </c>
      <c r="D11" s="2">
        <v>13.9</v>
      </c>
      <c r="E11" t="s">
        <v>119</v>
      </c>
      <c r="F11" s="3">
        <v>6.6</v>
      </c>
    </row>
    <row r="12" spans="1:16" x14ac:dyDescent="0.35">
      <c r="A12" t="s">
        <v>117</v>
      </c>
      <c r="B12" t="s">
        <v>125</v>
      </c>
      <c r="C12" t="s">
        <v>118</v>
      </c>
      <c r="D12" s="2">
        <v>11.9</v>
      </c>
      <c r="E12" t="s">
        <v>119</v>
      </c>
      <c r="F12" s="3">
        <v>9.8000000000000007</v>
      </c>
      <c r="H12" t="s">
        <v>121</v>
      </c>
    </row>
    <row r="13" spans="1:16" x14ac:dyDescent="0.35">
      <c r="A13" t="s">
        <v>116</v>
      </c>
      <c r="C13" t="s">
        <v>101</v>
      </c>
      <c r="D13">
        <v>0.88</v>
      </c>
    </row>
    <row r="14" spans="1:16" x14ac:dyDescent="0.35">
      <c r="A14" t="s">
        <v>432</v>
      </c>
      <c r="B14">
        <v>2040</v>
      </c>
      <c r="C14" t="s">
        <v>433</v>
      </c>
      <c r="D14" s="11">
        <v>150</v>
      </c>
      <c r="E14" t="s">
        <v>434</v>
      </c>
      <c r="F14" s="17" t="s">
        <v>470</v>
      </c>
    </row>
    <row r="15" spans="1:16" x14ac:dyDescent="0.35">
      <c r="A15" t="s">
        <v>435</v>
      </c>
      <c r="C15" t="s">
        <v>436</v>
      </c>
      <c r="D15" s="14">
        <f>3206/1000</f>
        <v>3.206</v>
      </c>
      <c r="E15" s="14">
        <f>3114/1000</f>
        <v>3.1139999999999999</v>
      </c>
      <c r="F15" t="s">
        <v>437</v>
      </c>
    </row>
    <row r="16" spans="1:16" x14ac:dyDescent="0.35">
      <c r="C16" t="s">
        <v>439</v>
      </c>
      <c r="D16" s="3">
        <f>D15/E2</f>
        <v>0.27878260869565219</v>
      </c>
      <c r="E16" s="3">
        <f>E15/E2</f>
        <v>0.27078260869565218</v>
      </c>
    </row>
    <row r="17" spans="1:36" x14ac:dyDescent="0.35">
      <c r="C17" t="s">
        <v>510</v>
      </c>
      <c r="D17" s="15">
        <f>(79+81.3)/2</f>
        <v>80.150000000000006</v>
      </c>
      <c r="E17" t="s">
        <v>439</v>
      </c>
      <c r="F17" s="21">
        <f>D17/277.78</f>
        <v>0.28853769169846644</v>
      </c>
      <c r="G17" s="29" t="s">
        <v>487</v>
      </c>
    </row>
    <row r="18" spans="1:36" x14ac:dyDescent="0.35">
      <c r="A18" t="s">
        <v>427</v>
      </c>
    </row>
    <row r="19" spans="1:36" x14ac:dyDescent="0.35">
      <c r="A19" t="s">
        <v>428</v>
      </c>
      <c r="B19">
        <v>2024</v>
      </c>
      <c r="C19" t="s">
        <v>431</v>
      </c>
      <c r="D19" s="14">
        <v>630</v>
      </c>
      <c r="E19" t="s">
        <v>454</v>
      </c>
      <c r="F19" s="3">
        <f>D19/E2*D13</f>
        <v>48.208695652173908</v>
      </c>
    </row>
    <row r="20" spans="1:36" x14ac:dyDescent="0.35">
      <c r="B20">
        <v>2025</v>
      </c>
      <c r="C20" t="s">
        <v>431</v>
      </c>
      <c r="D20" s="14">
        <v>585</v>
      </c>
      <c r="E20" t="s">
        <v>454</v>
      </c>
      <c r="F20" s="3">
        <f>D20/$E$2*$D$13</f>
        <v>44.765217391304347</v>
      </c>
      <c r="P20" s="29"/>
      <c r="AJ20" t="s">
        <v>606</v>
      </c>
    </row>
    <row r="21" spans="1:36" x14ac:dyDescent="0.35">
      <c r="B21">
        <v>2026</v>
      </c>
      <c r="D21" s="14">
        <f>D34</f>
        <v>780.25</v>
      </c>
      <c r="F21" s="3">
        <f>D21/$E$2*$D$13</f>
        <v>59.706086956521737</v>
      </c>
      <c r="P21" s="29"/>
      <c r="AJ21" t="s">
        <v>607</v>
      </c>
    </row>
    <row r="22" spans="1:36" x14ac:dyDescent="0.35">
      <c r="A22" t="s">
        <v>484</v>
      </c>
      <c r="B22">
        <v>2022</v>
      </c>
      <c r="C22" t="s">
        <v>491</v>
      </c>
      <c r="D22" s="2">
        <f>682*0.86</f>
        <v>586.52</v>
      </c>
      <c r="E22" t="s">
        <v>454</v>
      </c>
      <c r="F22" s="3">
        <f>D22/E2</f>
        <v>51.001739130434778</v>
      </c>
      <c r="G22" s="29" t="s">
        <v>485</v>
      </c>
      <c r="P22" s="29"/>
    </row>
    <row r="23" spans="1:36" x14ac:dyDescent="0.35">
      <c r="A23" t="s">
        <v>486</v>
      </c>
      <c r="B23">
        <v>2022</v>
      </c>
      <c r="C23" t="s">
        <v>491</v>
      </c>
      <c r="D23" s="2">
        <f>0.86*638.5</f>
        <v>549.11</v>
      </c>
      <c r="E23" t="s">
        <v>454</v>
      </c>
      <c r="F23" s="3">
        <f>D23/E2</f>
        <v>47.748695652173915</v>
      </c>
      <c r="G23" s="29" t="s">
        <v>485</v>
      </c>
      <c r="P23" s="29"/>
    </row>
    <row r="24" spans="1:36" x14ac:dyDescent="0.35">
      <c r="G24" s="29"/>
      <c r="P24" s="29"/>
    </row>
    <row r="25" spans="1:36" x14ac:dyDescent="0.35">
      <c r="A25" t="s">
        <v>492</v>
      </c>
      <c r="B25" t="s">
        <v>501</v>
      </c>
      <c r="D25" t="s">
        <v>502</v>
      </c>
      <c r="E25" t="s">
        <v>503</v>
      </c>
      <c r="F25" t="s">
        <v>505</v>
      </c>
      <c r="G25" s="29"/>
      <c r="H25" t="s">
        <v>502</v>
      </c>
      <c r="I25" t="s">
        <v>503</v>
      </c>
      <c r="J25" t="s">
        <v>505</v>
      </c>
      <c r="Q25" s="29"/>
    </row>
    <row r="26" spans="1:36" x14ac:dyDescent="0.35">
      <c r="A26" t="s">
        <v>493</v>
      </c>
      <c r="B26">
        <v>2026</v>
      </c>
      <c r="C26" t="s">
        <v>431</v>
      </c>
      <c r="D26" s="2">
        <v>810</v>
      </c>
      <c r="E26" s="2">
        <v>1365</v>
      </c>
      <c r="F26" s="2">
        <v>678</v>
      </c>
      <c r="G26" t="s">
        <v>454</v>
      </c>
      <c r="H26" s="32">
        <f t="shared" ref="H26:H34" si="1">D26*$D$13/$E$2</f>
        <v>61.982608695652168</v>
      </c>
      <c r="I26" s="32">
        <f t="shared" ref="I26:J26" si="2">E26*$D$13/$E$2</f>
        <v>104.45217391304348</v>
      </c>
      <c r="J26" s="32">
        <f t="shared" si="2"/>
        <v>51.881739130434781</v>
      </c>
      <c r="K26" s="29" t="s">
        <v>485</v>
      </c>
      <c r="L26" s="31">
        <v>46237</v>
      </c>
      <c r="Q26" s="29"/>
    </row>
    <row r="27" spans="1:36" x14ac:dyDescent="0.35">
      <c r="A27" t="s">
        <v>494</v>
      </c>
      <c r="B27">
        <v>2026</v>
      </c>
      <c r="C27" t="s">
        <v>431</v>
      </c>
      <c r="D27" s="2">
        <v>724</v>
      </c>
      <c r="E27" s="2">
        <v>1348</v>
      </c>
      <c r="F27" s="2">
        <v>540</v>
      </c>
      <c r="G27" t="s">
        <v>454</v>
      </c>
      <c r="H27" s="32">
        <f t="shared" si="1"/>
        <v>55.401739130434784</v>
      </c>
      <c r="I27" s="32">
        <f t="shared" ref="I27:J34" si="3">E27*$D$13/$E$2</f>
        <v>103.15130434782608</v>
      </c>
      <c r="J27" s="32">
        <f t="shared" si="3"/>
        <v>41.321739130434779</v>
      </c>
      <c r="K27" s="29" t="s">
        <v>485</v>
      </c>
      <c r="L27" s="31">
        <v>46237</v>
      </c>
      <c r="Q27" s="29"/>
    </row>
    <row r="28" spans="1:36" x14ac:dyDescent="0.35">
      <c r="A28" t="s">
        <v>495</v>
      </c>
      <c r="B28">
        <v>2026</v>
      </c>
      <c r="C28" t="s">
        <v>431</v>
      </c>
      <c r="D28" s="2">
        <v>734</v>
      </c>
      <c r="E28" s="2">
        <v>1241</v>
      </c>
      <c r="F28" s="2">
        <v>487</v>
      </c>
      <c r="G28" t="s">
        <v>454</v>
      </c>
      <c r="H28" s="32">
        <f t="shared" si="1"/>
        <v>56.166956521739124</v>
      </c>
      <c r="I28" s="32">
        <f t="shared" si="3"/>
        <v>94.963478260869564</v>
      </c>
      <c r="J28" s="32">
        <f t="shared" si="3"/>
        <v>37.26608695652174</v>
      </c>
      <c r="K28" s="29" t="s">
        <v>485</v>
      </c>
      <c r="L28" s="31">
        <v>46237</v>
      </c>
      <c r="Q28" s="29"/>
      <c r="Y28" s="17" t="s">
        <v>605</v>
      </c>
    </row>
    <row r="29" spans="1:36" x14ac:dyDescent="0.35">
      <c r="A29" t="s">
        <v>496</v>
      </c>
      <c r="B29">
        <v>2026</v>
      </c>
      <c r="C29" t="s">
        <v>431</v>
      </c>
      <c r="D29" s="2">
        <v>815</v>
      </c>
      <c r="E29" s="2">
        <v>1286</v>
      </c>
      <c r="F29" s="2">
        <v>511</v>
      </c>
      <c r="G29" t="s">
        <v>454</v>
      </c>
      <c r="H29" s="32">
        <f t="shared" si="1"/>
        <v>62.365217391304348</v>
      </c>
      <c r="I29" s="32">
        <f t="shared" si="3"/>
        <v>98.406956521739133</v>
      </c>
      <c r="J29" s="32">
        <f t="shared" si="3"/>
        <v>39.102608695652172</v>
      </c>
      <c r="K29" s="29" t="s">
        <v>485</v>
      </c>
      <c r="L29" s="31">
        <v>46237</v>
      </c>
      <c r="Q29" s="29"/>
    </row>
    <row r="30" spans="1:36" x14ac:dyDescent="0.35">
      <c r="A30" t="s">
        <v>497</v>
      </c>
      <c r="B30">
        <v>2026</v>
      </c>
      <c r="C30" t="s">
        <v>431</v>
      </c>
      <c r="D30" s="2">
        <v>679</v>
      </c>
      <c r="E30" s="2">
        <v>1282</v>
      </c>
      <c r="F30" s="2">
        <v>529</v>
      </c>
      <c r="G30" t="s">
        <v>454</v>
      </c>
      <c r="H30" s="32">
        <f t="shared" si="1"/>
        <v>51.958260869565216</v>
      </c>
      <c r="I30" s="32">
        <f t="shared" si="3"/>
        <v>98.100869565217394</v>
      </c>
      <c r="J30" s="32">
        <f t="shared" si="3"/>
        <v>40.479999999999997</v>
      </c>
      <c r="K30" s="29" t="s">
        <v>485</v>
      </c>
      <c r="L30" s="31">
        <v>46237</v>
      </c>
      <c r="Q30" s="29"/>
    </row>
    <row r="31" spans="1:36" x14ac:dyDescent="0.35">
      <c r="A31" t="s">
        <v>498</v>
      </c>
      <c r="B31">
        <v>2026</v>
      </c>
      <c r="C31" t="s">
        <v>431</v>
      </c>
      <c r="D31" s="2">
        <v>809</v>
      </c>
      <c r="E31" s="2">
        <v>1283</v>
      </c>
      <c r="F31" s="2">
        <v>598</v>
      </c>
      <c r="G31" t="s">
        <v>454</v>
      </c>
      <c r="H31" s="32">
        <f t="shared" si="1"/>
        <v>61.906086956521733</v>
      </c>
      <c r="I31" s="32">
        <f t="shared" si="3"/>
        <v>98.177391304347822</v>
      </c>
      <c r="J31" s="32">
        <f t="shared" si="3"/>
        <v>45.76</v>
      </c>
      <c r="K31" s="29" t="s">
        <v>485</v>
      </c>
      <c r="L31" s="31">
        <v>46237</v>
      </c>
      <c r="Q31" s="29"/>
    </row>
    <row r="32" spans="1:36" x14ac:dyDescent="0.35">
      <c r="A32" t="s">
        <v>499</v>
      </c>
      <c r="B32">
        <v>2026</v>
      </c>
      <c r="C32" t="s">
        <v>431</v>
      </c>
      <c r="D32" s="2">
        <v>833</v>
      </c>
      <c r="E32" s="2">
        <v>1226</v>
      </c>
      <c r="F32" s="2">
        <v>623</v>
      </c>
      <c r="G32" t="s">
        <v>454</v>
      </c>
      <c r="H32" s="32">
        <f t="shared" si="1"/>
        <v>63.742608695652173</v>
      </c>
      <c r="I32" s="32">
        <f t="shared" si="3"/>
        <v>93.815652173913051</v>
      </c>
      <c r="J32" s="32">
        <f t="shared" si="3"/>
        <v>47.673043478260873</v>
      </c>
      <c r="K32" s="29" t="s">
        <v>485</v>
      </c>
      <c r="L32" s="31">
        <v>46237</v>
      </c>
      <c r="Q32" s="29"/>
      <c r="T32" s="53" t="s">
        <v>613</v>
      </c>
    </row>
    <row r="33" spans="1:49" x14ac:dyDescent="0.35">
      <c r="A33" t="s">
        <v>500</v>
      </c>
      <c r="B33">
        <v>2026</v>
      </c>
      <c r="C33" t="s">
        <v>431</v>
      </c>
      <c r="D33" s="2">
        <v>838</v>
      </c>
      <c r="E33" s="2">
        <v>1226</v>
      </c>
      <c r="F33" s="2">
        <v>582</v>
      </c>
      <c r="G33" t="s">
        <v>454</v>
      </c>
      <c r="H33" s="32">
        <f t="shared" si="1"/>
        <v>64.125217391304346</v>
      </c>
      <c r="I33" s="32">
        <f t="shared" si="3"/>
        <v>93.815652173913051</v>
      </c>
      <c r="J33" s="32">
        <f t="shared" si="3"/>
        <v>44.535652173913043</v>
      </c>
      <c r="K33" s="29" t="s">
        <v>485</v>
      </c>
      <c r="L33" s="31">
        <v>46237</v>
      </c>
      <c r="Q33" s="29"/>
    </row>
    <row r="34" spans="1:49" x14ac:dyDescent="0.35">
      <c r="A34" t="s">
        <v>504</v>
      </c>
      <c r="B34">
        <v>2026</v>
      </c>
      <c r="C34" t="s">
        <v>431</v>
      </c>
      <c r="D34" s="2">
        <f>AVERAGE(D26:D33)</f>
        <v>780.25</v>
      </c>
      <c r="E34" s="2">
        <f t="shared" ref="E34:F34" si="4">AVERAGE(E26:E33)</f>
        <v>1282.125</v>
      </c>
      <c r="F34" s="2">
        <f t="shared" si="4"/>
        <v>568.5</v>
      </c>
      <c r="G34" t="s">
        <v>454</v>
      </c>
      <c r="H34" s="36">
        <f t="shared" si="1"/>
        <v>59.706086956521737</v>
      </c>
      <c r="I34" s="32">
        <f t="shared" si="3"/>
        <v>98.110434782608692</v>
      </c>
      <c r="J34" s="32">
        <f t="shared" si="3"/>
        <v>43.502608695652178</v>
      </c>
      <c r="K34" s="29"/>
      <c r="Q34" s="29"/>
      <c r="AJ34" t="s">
        <v>608</v>
      </c>
    </row>
    <row r="35" spans="1:49" x14ac:dyDescent="0.35">
      <c r="P35" s="29"/>
      <c r="AJ35" t="s">
        <v>609</v>
      </c>
    </row>
    <row r="36" spans="1:49" x14ac:dyDescent="0.35">
      <c r="A36" t="s">
        <v>438</v>
      </c>
      <c r="B36">
        <v>2026</v>
      </c>
      <c r="C36" t="s">
        <v>102</v>
      </c>
      <c r="D36" s="21">
        <f t="shared" ref="D36" si="5">$H$34+$F$17*$D$14</f>
        <v>102.9867407112917</v>
      </c>
      <c r="O36" s="24"/>
      <c r="P36" s="29"/>
      <c r="AV36">
        <v>3.78E-2</v>
      </c>
      <c r="AW36" t="s">
        <v>610</v>
      </c>
    </row>
    <row r="37" spans="1:49" x14ac:dyDescent="0.35">
      <c r="P37" s="29"/>
      <c r="AV37">
        <f>AV36/D9</f>
        <v>7.2692307692307691E-3</v>
      </c>
      <c r="AW37" t="s">
        <v>611</v>
      </c>
    </row>
    <row r="38" spans="1:49" x14ac:dyDescent="0.35">
      <c r="A38" t="s">
        <v>512</v>
      </c>
      <c r="B38" t="s">
        <v>444</v>
      </c>
      <c r="C38">
        <v>13</v>
      </c>
      <c r="D38" s="29" t="s">
        <v>488</v>
      </c>
      <c r="P38" s="29"/>
      <c r="AV38">
        <f>1-AV37</f>
        <v>0.99273076923076919</v>
      </c>
      <c r="AW38" t="s">
        <v>612</v>
      </c>
    </row>
    <row r="39" spans="1:49" x14ac:dyDescent="0.35">
      <c r="B39" t="s">
        <v>444</v>
      </c>
      <c r="C39">
        <v>30</v>
      </c>
      <c r="D39" t="s">
        <v>459</v>
      </c>
      <c r="P39" s="29"/>
    </row>
    <row r="40" spans="1:49" x14ac:dyDescent="0.35">
      <c r="A40" t="s">
        <v>522</v>
      </c>
      <c r="C40" t="s">
        <v>447</v>
      </c>
      <c r="D40" t="s">
        <v>449</v>
      </c>
      <c r="E40" t="s">
        <v>448</v>
      </c>
      <c r="G40" t="s">
        <v>447</v>
      </c>
      <c r="H40" t="s">
        <v>449</v>
      </c>
      <c r="I40" t="s">
        <v>448</v>
      </c>
    </row>
    <row r="41" spans="1:49" x14ac:dyDescent="0.35">
      <c r="A41" t="s">
        <v>440</v>
      </c>
      <c r="B41" t="s">
        <v>450</v>
      </c>
      <c r="C41" s="14">
        <v>5000</v>
      </c>
      <c r="D41" s="3">
        <f>(E41+C41)/2</f>
        <v>12500</v>
      </c>
      <c r="E41" s="14">
        <v>20000</v>
      </c>
      <c r="F41" t="s">
        <v>451</v>
      </c>
      <c r="G41" s="3">
        <f>C41*$F$7</f>
        <v>11500</v>
      </c>
      <c r="H41" s="3">
        <f t="shared" ref="H41:I41" si="6">D41*$F$7</f>
        <v>28749.999999999996</v>
      </c>
      <c r="I41" s="3">
        <f t="shared" si="6"/>
        <v>46000</v>
      </c>
      <c r="J41" t="s">
        <v>517</v>
      </c>
      <c r="K41" s="3">
        <f>C41*$F$9</f>
        <v>18000</v>
      </c>
      <c r="L41" s="3">
        <f t="shared" ref="L41:M41" si="7">D41*$F$9</f>
        <v>45000</v>
      </c>
      <c r="M41" s="3">
        <f t="shared" si="7"/>
        <v>72000</v>
      </c>
      <c r="N41" t="s">
        <v>518</v>
      </c>
      <c r="O41" s="3">
        <f>C41*$F$10</f>
        <v>22000</v>
      </c>
      <c r="P41" s="3">
        <f t="shared" ref="P41:Q41" si="8">D41*$F$10</f>
        <v>55000.000000000007</v>
      </c>
      <c r="Q41" s="3">
        <f t="shared" si="8"/>
        <v>88000</v>
      </c>
    </row>
    <row r="42" spans="1:49" x14ac:dyDescent="0.35">
      <c r="A42" t="s">
        <v>441</v>
      </c>
      <c r="B42" t="s">
        <v>450</v>
      </c>
      <c r="C42" s="14">
        <v>20000</v>
      </c>
      <c r="D42" s="3">
        <f t="shared" ref="D42:D43" si="9">(E42+C42)/2</f>
        <v>40000</v>
      </c>
      <c r="E42" s="14">
        <v>60000</v>
      </c>
      <c r="F42" t="s">
        <v>451</v>
      </c>
      <c r="G42" s="3">
        <f t="shared" ref="G42:G43" si="10">C42*$F$7</f>
        <v>46000</v>
      </c>
      <c r="H42" s="3">
        <f t="shared" ref="H42:H43" si="11">D42*$F$7</f>
        <v>92000</v>
      </c>
      <c r="I42" s="3">
        <f t="shared" ref="I42:I43" si="12">E42*$F$7</f>
        <v>138000</v>
      </c>
      <c r="J42" t="s">
        <v>517</v>
      </c>
      <c r="K42" s="3">
        <f t="shared" ref="K42:K43" si="13">C42*$F$9</f>
        <v>72000</v>
      </c>
      <c r="L42" s="3">
        <f t="shared" ref="L42:L43" si="14">D42*$F$9</f>
        <v>144000</v>
      </c>
      <c r="M42" s="3">
        <f t="shared" ref="M42:M43" si="15">E42*$F$9</f>
        <v>216000</v>
      </c>
      <c r="N42" t="s">
        <v>518</v>
      </c>
      <c r="O42" s="3">
        <f t="shared" ref="O42:O43" si="16">C42*$F$10</f>
        <v>88000</v>
      </c>
      <c r="P42" s="3">
        <f t="shared" ref="P42:P43" si="17">D42*$F$10</f>
        <v>176000</v>
      </c>
      <c r="Q42" s="3">
        <f t="shared" ref="Q42:Q43" si="18">E42*$F$10</f>
        <v>264000</v>
      </c>
    </row>
    <row r="43" spans="1:49" x14ac:dyDescent="0.35">
      <c r="A43" t="s">
        <v>442</v>
      </c>
      <c r="B43" t="s">
        <v>450</v>
      </c>
      <c r="C43" s="14">
        <v>150000</v>
      </c>
      <c r="D43" s="3">
        <f t="shared" si="9"/>
        <v>225000</v>
      </c>
      <c r="E43" s="14">
        <v>300000</v>
      </c>
      <c r="F43" t="s">
        <v>451</v>
      </c>
      <c r="G43" s="3">
        <f t="shared" si="10"/>
        <v>345000</v>
      </c>
      <c r="H43" s="3">
        <f t="shared" si="11"/>
        <v>517499.99999999994</v>
      </c>
      <c r="I43" s="3">
        <f t="shared" si="12"/>
        <v>690000</v>
      </c>
      <c r="J43" t="s">
        <v>517</v>
      </c>
      <c r="K43" s="3">
        <f t="shared" si="13"/>
        <v>540000</v>
      </c>
      <c r="L43" s="3">
        <f t="shared" si="14"/>
        <v>810000</v>
      </c>
      <c r="M43" s="3">
        <f t="shared" si="15"/>
        <v>1080000</v>
      </c>
      <c r="N43" t="s">
        <v>518</v>
      </c>
      <c r="O43" s="3">
        <f t="shared" si="16"/>
        <v>660000</v>
      </c>
      <c r="P43" s="3">
        <f t="shared" si="17"/>
        <v>990000.00000000012</v>
      </c>
      <c r="Q43" s="3">
        <f t="shared" si="18"/>
        <v>1320000</v>
      </c>
    </row>
    <row r="44" spans="1:49" x14ac:dyDescent="0.35">
      <c r="O44" s="22"/>
      <c r="P44" s="22"/>
    </row>
    <row r="45" spans="1:49" x14ac:dyDescent="0.35">
      <c r="A45" t="s">
        <v>422</v>
      </c>
      <c r="B45" t="s">
        <v>444</v>
      </c>
      <c r="C45" s="14">
        <v>15</v>
      </c>
      <c r="D45" s="14">
        <v>18</v>
      </c>
      <c r="E45" t="s">
        <v>445</v>
      </c>
      <c r="F45" s="3">
        <f>C45*1.852</f>
        <v>27.78</v>
      </c>
      <c r="G45" s="3">
        <f>D45*1.852</f>
        <v>33.335999999999999</v>
      </c>
      <c r="H45" t="str">
        <f>E45</f>
        <v>km/h</v>
      </c>
      <c r="I45" s="3">
        <f>F45</f>
        <v>27.78</v>
      </c>
      <c r="J45" s="3">
        <f>(K45+I45)/2</f>
        <v>30.558</v>
      </c>
      <c r="K45" s="3">
        <f>G45</f>
        <v>33.335999999999999</v>
      </c>
      <c r="L45" t="s">
        <v>490</v>
      </c>
    </row>
    <row r="46" spans="1:49" x14ac:dyDescent="0.35">
      <c r="A46" t="s">
        <v>440</v>
      </c>
      <c r="B46" t="s">
        <v>521</v>
      </c>
      <c r="C46" s="14">
        <v>8</v>
      </c>
      <c r="D46" s="14">
        <v>15</v>
      </c>
      <c r="E46" t="s">
        <v>443</v>
      </c>
      <c r="F46" s="3">
        <f t="shared" ref="F46:G48" si="19">C46/24/F$45</f>
        <v>1.1999040076793855E-2</v>
      </c>
      <c r="G46" s="3">
        <f t="shared" si="19"/>
        <v>1.8748500119990401E-2</v>
      </c>
      <c r="H46" t="s">
        <v>453</v>
      </c>
      <c r="I46" s="3">
        <f>F46*$E$2</f>
        <v>0.13798896088312934</v>
      </c>
      <c r="J46" s="3">
        <f>(K46+I46)/2</f>
        <v>0.17679835613150946</v>
      </c>
      <c r="K46" s="3">
        <f>G46*$E$2</f>
        <v>0.21560775137988961</v>
      </c>
    </row>
    <row r="47" spans="1:49" x14ac:dyDescent="0.35">
      <c r="A47" t="s">
        <v>441</v>
      </c>
      <c r="B47" t="s">
        <v>521</v>
      </c>
      <c r="C47" s="14">
        <v>15</v>
      </c>
      <c r="D47" s="14">
        <v>25</v>
      </c>
      <c r="E47" t="s">
        <v>443</v>
      </c>
      <c r="F47" s="3">
        <f t="shared" si="19"/>
        <v>2.249820014398848E-2</v>
      </c>
      <c r="G47" s="3">
        <f t="shared" si="19"/>
        <v>3.1247500199984006E-2</v>
      </c>
      <c r="H47" t="s">
        <v>453</v>
      </c>
      <c r="I47" s="3">
        <f>F47*$E$2</f>
        <v>0.25872930165586755</v>
      </c>
      <c r="J47" s="21">
        <f t="shared" ref="J47:J48" si="20">(K47+I47)/2</f>
        <v>0.30903777697784185</v>
      </c>
      <c r="K47" s="3">
        <f>G47*$E$2</f>
        <v>0.35934625229981609</v>
      </c>
    </row>
    <row r="48" spans="1:49" x14ac:dyDescent="0.35">
      <c r="A48" t="s">
        <v>442</v>
      </c>
      <c r="B48" t="s">
        <v>521</v>
      </c>
      <c r="C48" s="14">
        <v>30</v>
      </c>
      <c r="D48" s="14">
        <v>55</v>
      </c>
      <c r="E48" t="s">
        <v>443</v>
      </c>
      <c r="F48" s="3">
        <f t="shared" si="19"/>
        <v>4.4996400287976961E-2</v>
      </c>
      <c r="G48" s="3">
        <f t="shared" si="19"/>
        <v>6.8744500439964801E-2</v>
      </c>
      <c r="H48" t="s">
        <v>453</v>
      </c>
      <c r="I48" s="3">
        <f>F48*$E$2</f>
        <v>0.5174586033117351</v>
      </c>
      <c r="J48" s="3">
        <f t="shared" si="20"/>
        <v>0.65401017918566517</v>
      </c>
      <c r="K48" s="3">
        <f>G48*$E$2</f>
        <v>0.79056175505959525</v>
      </c>
    </row>
    <row r="50" spans="1:8" x14ac:dyDescent="0.35">
      <c r="C50" t="s">
        <v>516</v>
      </c>
      <c r="D50" t="s">
        <v>122</v>
      </c>
      <c r="E50" t="s">
        <v>123</v>
      </c>
    </row>
    <row r="51" spans="1:8" x14ac:dyDescent="0.35">
      <c r="A51" t="s">
        <v>513</v>
      </c>
      <c r="B51" t="s">
        <v>453</v>
      </c>
      <c r="C51" s="3">
        <f>$J$47</f>
        <v>0.30903777697784185</v>
      </c>
      <c r="D51" s="3">
        <f t="shared" ref="D51:E51" si="21">$J$47</f>
        <v>0.30903777697784185</v>
      </c>
      <c r="E51" s="3">
        <f t="shared" si="21"/>
        <v>0.30903777697784185</v>
      </c>
    </row>
    <row r="52" spans="1:8" x14ac:dyDescent="0.35">
      <c r="B52" t="s">
        <v>38</v>
      </c>
      <c r="C52" s="3">
        <f>$C$51*$D$36</f>
        <v>31.826793407610992</v>
      </c>
      <c r="D52" s="3">
        <f>$C$51*$D$36</f>
        <v>31.826793407610992</v>
      </c>
      <c r="E52" s="3">
        <f>$C$51*$D$36</f>
        <v>31.826793407610992</v>
      </c>
    </row>
    <row r="53" spans="1:8" x14ac:dyDescent="0.35">
      <c r="A53" t="s">
        <v>515</v>
      </c>
      <c r="B53" t="s">
        <v>40</v>
      </c>
      <c r="C53" s="3">
        <f>H42</f>
        <v>92000</v>
      </c>
      <c r="D53" s="3">
        <f>L42</f>
        <v>144000</v>
      </c>
      <c r="E53" s="3">
        <f>P42</f>
        <v>176000</v>
      </c>
    </row>
    <row r="54" spans="1:8" x14ac:dyDescent="0.35">
      <c r="A54" t="s">
        <v>514</v>
      </c>
      <c r="B54" t="s">
        <v>452</v>
      </c>
      <c r="C54" s="63">
        <f>C52/C53</f>
        <v>3.459434066044673E-4</v>
      </c>
      <c r="D54" s="63">
        <f>D52/D53</f>
        <v>2.2101939866396524E-4</v>
      </c>
      <c r="E54" s="63">
        <f>E52/E53</f>
        <v>1.8083405345233519E-4</v>
      </c>
    </row>
    <row r="55" spans="1:8" x14ac:dyDescent="0.35">
      <c r="C55" s="43"/>
      <c r="D55" s="43"/>
      <c r="E55" s="43"/>
    </row>
    <row r="56" spans="1:8" x14ac:dyDescent="0.35">
      <c r="B56" t="s">
        <v>455</v>
      </c>
      <c r="C56" t="s">
        <v>558</v>
      </c>
      <c r="D56" s="14">
        <v>0.2</v>
      </c>
      <c r="E56" s="14">
        <v>0.4</v>
      </c>
    </row>
    <row r="57" spans="1:8" x14ac:dyDescent="0.35">
      <c r="A57" t="s">
        <v>570</v>
      </c>
      <c r="D57" t="s">
        <v>571</v>
      </c>
      <c r="E57">
        <v>2500</v>
      </c>
      <c r="F57">
        <v>1487</v>
      </c>
      <c r="H57" t="s">
        <v>582</v>
      </c>
    </row>
    <row r="58" spans="1:8" x14ac:dyDescent="0.35">
      <c r="D58" t="s">
        <v>574</v>
      </c>
      <c r="E58" s="43">
        <f>E57/(3.6+10^9)</f>
        <v>2.4999999909999999E-6</v>
      </c>
      <c r="F58" s="43">
        <f>F57/(3.6+10^9)</f>
        <v>1.4869999946468E-6</v>
      </c>
      <c r="H58" t="s">
        <v>582</v>
      </c>
    </row>
    <row r="60" spans="1:8" x14ac:dyDescent="0.35">
      <c r="D60" t="s">
        <v>122</v>
      </c>
      <c r="E60" t="s">
        <v>466</v>
      </c>
      <c r="F60" t="s">
        <v>123</v>
      </c>
    </row>
    <row r="61" spans="1:8" x14ac:dyDescent="0.35">
      <c r="A61" t="s">
        <v>478</v>
      </c>
      <c r="B61" t="s">
        <v>477</v>
      </c>
      <c r="C61" t="s">
        <v>458</v>
      </c>
      <c r="D61" s="2">
        <v>53000</v>
      </c>
      <c r="E61" s="2">
        <v>11000</v>
      </c>
      <c r="F61" s="2">
        <v>110000</v>
      </c>
      <c r="G61" t="s">
        <v>459</v>
      </c>
    </row>
    <row r="62" spans="1:8" x14ac:dyDescent="0.35">
      <c r="A62" t="s">
        <v>478</v>
      </c>
      <c r="B62" t="s">
        <v>477</v>
      </c>
      <c r="C62" t="s">
        <v>40</v>
      </c>
      <c r="D62" s="3">
        <f>D61*D7</f>
        <v>1766490</v>
      </c>
      <c r="E62" s="3">
        <f>E61*D9</f>
        <v>57200</v>
      </c>
      <c r="F62" s="3">
        <f>F61*D10</f>
        <v>605000</v>
      </c>
    </row>
    <row r="63" spans="1:8" x14ac:dyDescent="0.35">
      <c r="A63" t="s">
        <v>478</v>
      </c>
      <c r="B63" t="s">
        <v>479</v>
      </c>
      <c r="C63" t="s">
        <v>549</v>
      </c>
      <c r="D63" s="2">
        <v>85</v>
      </c>
      <c r="E63" s="2">
        <v>412</v>
      </c>
      <c r="F63" s="2"/>
      <c r="G63" t="s">
        <v>459</v>
      </c>
    </row>
    <row r="64" spans="1:8" x14ac:dyDescent="0.35">
      <c r="A64" t="s">
        <v>478</v>
      </c>
      <c r="B64" t="s">
        <v>479</v>
      </c>
      <c r="C64" t="s">
        <v>446</v>
      </c>
      <c r="D64" s="3">
        <f>D63*10^6*$D$13</f>
        <v>74800000</v>
      </c>
      <c r="E64" s="3">
        <f t="shared" ref="E64:F64" si="22">E63*10^6*$D$13</f>
        <v>362560000</v>
      </c>
      <c r="F64" s="3">
        <f t="shared" si="22"/>
        <v>0</v>
      </c>
    </row>
    <row r="65" spans="1:7" x14ac:dyDescent="0.35">
      <c r="A65" t="s">
        <v>478</v>
      </c>
      <c r="B65" t="s">
        <v>461</v>
      </c>
      <c r="C65" t="s">
        <v>462</v>
      </c>
      <c r="D65" s="3">
        <f>D64/D61</f>
        <v>1411.3207547169811</v>
      </c>
      <c r="E65" s="3">
        <f>E64/E61</f>
        <v>32960</v>
      </c>
      <c r="F65" s="3">
        <f>F64/F61</f>
        <v>0</v>
      </c>
    </row>
    <row r="66" spans="1:7" x14ac:dyDescent="0.35">
      <c r="A66" t="s">
        <v>478</v>
      </c>
      <c r="B66" t="s">
        <v>482</v>
      </c>
      <c r="C66" t="s">
        <v>580</v>
      </c>
      <c r="D66" s="3">
        <f>D64/D62</f>
        <v>42.343857027212152</v>
      </c>
      <c r="E66" s="3">
        <f>E64/E62</f>
        <v>6338.4615384615381</v>
      </c>
      <c r="F66" s="3">
        <f>F64/F62</f>
        <v>0</v>
      </c>
    </row>
    <row r="67" spans="1:7" x14ac:dyDescent="0.35">
      <c r="A67" t="s">
        <v>478</v>
      </c>
      <c r="B67" t="s">
        <v>467</v>
      </c>
      <c r="C67" t="s">
        <v>464</v>
      </c>
      <c r="D67" s="64">
        <v>0.04</v>
      </c>
      <c r="E67" s="62">
        <v>0.04</v>
      </c>
      <c r="F67" s="65">
        <v>0.04</v>
      </c>
      <c r="G67" t="s">
        <v>459</v>
      </c>
    </row>
    <row r="68" spans="1:7" x14ac:dyDescent="0.35">
      <c r="A68" t="s">
        <v>478</v>
      </c>
      <c r="B68" t="s">
        <v>473</v>
      </c>
      <c r="D68" s="11" t="s">
        <v>15</v>
      </c>
      <c r="E68" s="2">
        <v>2E-3</v>
      </c>
      <c r="F68" s="11" t="s">
        <v>15</v>
      </c>
      <c r="G68" t="s">
        <v>459</v>
      </c>
    </row>
    <row r="69" spans="1:7" x14ac:dyDescent="0.35">
      <c r="A69" t="s">
        <v>478</v>
      </c>
      <c r="B69" t="s">
        <v>475</v>
      </c>
      <c r="D69" s="11" t="s">
        <v>15</v>
      </c>
      <c r="E69" s="2">
        <v>1.2999999999999999E-2</v>
      </c>
      <c r="F69" s="11" t="s">
        <v>15</v>
      </c>
      <c r="G69" t="s">
        <v>459</v>
      </c>
    </row>
    <row r="70" spans="1:7" x14ac:dyDescent="0.35">
      <c r="A70" t="s">
        <v>478</v>
      </c>
      <c r="B70" t="s">
        <v>552</v>
      </c>
      <c r="C70" t="s">
        <v>489</v>
      </c>
      <c r="D70" s="11">
        <f>8760/2</f>
        <v>4380</v>
      </c>
      <c r="E70" s="11">
        <f>8760/2</f>
        <v>4380</v>
      </c>
      <c r="F70" s="11">
        <f>8760/2</f>
        <v>4380</v>
      </c>
    </row>
    <row r="71" spans="1:7" x14ac:dyDescent="0.35">
      <c r="A71" t="s">
        <v>478</v>
      </c>
      <c r="B71" t="s">
        <v>477</v>
      </c>
      <c r="C71" t="s">
        <v>557</v>
      </c>
      <c r="D71" s="3">
        <v>53000</v>
      </c>
      <c r="E71" s="3">
        <v>11000</v>
      </c>
      <c r="F71" s="3"/>
    </row>
    <row r="72" spans="1:7" x14ac:dyDescent="0.35">
      <c r="A72" t="s">
        <v>478</v>
      </c>
      <c r="C72" t="s">
        <v>40</v>
      </c>
      <c r="D72" s="3">
        <f>D71*$D$7</f>
        <v>1766490</v>
      </c>
      <c r="E72" s="3">
        <f>E71*$D$7</f>
        <v>366630</v>
      </c>
      <c r="F72" s="3"/>
    </row>
    <row r="73" spans="1:7" x14ac:dyDescent="0.35">
      <c r="A73" t="s">
        <v>478</v>
      </c>
      <c r="B73" t="s">
        <v>482</v>
      </c>
      <c r="C73" t="s">
        <v>543</v>
      </c>
      <c r="D73" s="33">
        <f>D63*10^6*$D$13/D72*D70</f>
        <v>185466.09377918922</v>
      </c>
      <c r="E73" s="33">
        <f>E63*10^6*$D$13/E72*E70</f>
        <v>4331377.1377137713</v>
      </c>
    </row>
    <row r="74" spans="1:7" x14ac:dyDescent="0.35">
      <c r="A74" t="s">
        <v>478</v>
      </c>
      <c r="B74" t="s">
        <v>568</v>
      </c>
      <c r="C74" t="s">
        <v>445</v>
      </c>
      <c r="D74" s="2">
        <v>30</v>
      </c>
      <c r="E74" s="2">
        <v>30</v>
      </c>
    </row>
    <row r="75" spans="1:7" x14ac:dyDescent="0.35">
      <c r="A75" t="s">
        <v>478</v>
      </c>
      <c r="B75" t="s">
        <v>524</v>
      </c>
      <c r="D75" s="2">
        <v>0.04</v>
      </c>
      <c r="E75" s="2">
        <v>0.04</v>
      </c>
    </row>
    <row r="76" spans="1:7" x14ac:dyDescent="0.35">
      <c r="A76" t="s">
        <v>478</v>
      </c>
      <c r="B76" t="s">
        <v>572</v>
      </c>
      <c r="C76" t="s">
        <v>573</v>
      </c>
      <c r="D76" s="11">
        <v>0</v>
      </c>
      <c r="E76" s="62">
        <v>2E-3</v>
      </c>
      <c r="F76" s="11">
        <v>0</v>
      </c>
      <c r="G76" t="s">
        <v>459</v>
      </c>
    </row>
    <row r="77" spans="1:7" x14ac:dyDescent="0.35">
      <c r="A77" t="s">
        <v>478</v>
      </c>
      <c r="B77" t="s">
        <v>475</v>
      </c>
      <c r="D77" s="11">
        <v>0</v>
      </c>
      <c r="E77" s="2">
        <v>1.2999999999999999E-2</v>
      </c>
      <c r="F77" s="11">
        <v>0</v>
      </c>
      <c r="G77" t="s">
        <v>459</v>
      </c>
    </row>
    <row r="79" spans="1:7" x14ac:dyDescent="0.35">
      <c r="B79" t="s">
        <v>581</v>
      </c>
      <c r="D79" t="s">
        <v>122</v>
      </c>
      <c r="E79" t="s">
        <v>466</v>
      </c>
      <c r="F79" t="s">
        <v>123</v>
      </c>
    </row>
    <row r="80" spans="1:7" x14ac:dyDescent="0.35">
      <c r="A80" t="s">
        <v>457</v>
      </c>
      <c r="B80" t="s">
        <v>469</v>
      </c>
      <c r="C80" t="s">
        <v>40</v>
      </c>
      <c r="D80" s="2">
        <f>D81*D9</f>
        <v>177320</v>
      </c>
      <c r="E80" s="2">
        <f>E81*D8</f>
        <v>106322.7</v>
      </c>
      <c r="F80" s="2"/>
    </row>
    <row r="81" spans="1:7" x14ac:dyDescent="0.35">
      <c r="A81" t="s">
        <v>457</v>
      </c>
      <c r="B81" t="s">
        <v>456</v>
      </c>
      <c r="C81" t="s">
        <v>458</v>
      </c>
      <c r="D81" s="2">
        <v>34100</v>
      </c>
      <c r="E81" s="2">
        <v>3190</v>
      </c>
      <c r="F81" s="2"/>
      <c r="G81" t="s">
        <v>459</v>
      </c>
    </row>
    <row r="82" spans="1:7" x14ac:dyDescent="0.35">
      <c r="A82" t="s">
        <v>457</v>
      </c>
      <c r="B82" t="s">
        <v>460</v>
      </c>
      <c r="C82" t="s">
        <v>446</v>
      </c>
      <c r="D82" s="3">
        <f>0.86*68000000</f>
        <v>58480000</v>
      </c>
      <c r="E82" s="3">
        <f>0.86*290000000</f>
        <v>249400000</v>
      </c>
      <c r="F82" s="3"/>
      <c r="G82" t="s">
        <v>459</v>
      </c>
    </row>
    <row r="83" spans="1:7" x14ac:dyDescent="0.35">
      <c r="A83" t="s">
        <v>457</v>
      </c>
      <c r="B83" t="s">
        <v>461</v>
      </c>
      <c r="C83" t="s">
        <v>462</v>
      </c>
      <c r="D83" s="2">
        <f>D82/D81</f>
        <v>1714.9560117302053</v>
      </c>
      <c r="E83" s="2">
        <f>E82/E81</f>
        <v>78181.818181818177</v>
      </c>
      <c r="F83" s="2"/>
      <c r="G83" t="s">
        <v>463</v>
      </c>
    </row>
    <row r="84" spans="1:7" x14ac:dyDescent="0.35">
      <c r="A84" t="s">
        <v>457</v>
      </c>
      <c r="B84" t="s">
        <v>467</v>
      </c>
      <c r="C84" t="s">
        <v>468</v>
      </c>
      <c r="D84" s="62">
        <v>0.04</v>
      </c>
      <c r="E84" s="62">
        <v>0.04</v>
      </c>
      <c r="F84" s="62">
        <v>0.04</v>
      </c>
      <c r="G84" t="s">
        <v>459</v>
      </c>
    </row>
    <row r="85" spans="1:7" x14ac:dyDescent="0.35">
      <c r="A85" t="s">
        <v>457</v>
      </c>
      <c r="B85" t="s">
        <v>322</v>
      </c>
      <c r="C85" t="s">
        <v>464</v>
      </c>
      <c r="D85" s="3">
        <f>D84*D83</f>
        <v>68.598240469208221</v>
      </c>
      <c r="E85" s="3">
        <f>E84*E83</f>
        <v>3127.272727272727</v>
      </c>
      <c r="F85" s="3"/>
      <c r="G85" t="s">
        <v>465</v>
      </c>
    </row>
    <row r="86" spans="1:7" x14ac:dyDescent="0.35">
      <c r="A86" t="s">
        <v>457</v>
      </c>
      <c r="B86" t="s">
        <v>471</v>
      </c>
      <c r="C86" t="s">
        <v>472</v>
      </c>
      <c r="D86">
        <v>5.0000000000000001E-3</v>
      </c>
      <c r="E86">
        <v>0.61</v>
      </c>
      <c r="F86">
        <v>0.01</v>
      </c>
      <c r="G86" t="s">
        <v>459</v>
      </c>
    </row>
    <row r="87" spans="1:7" x14ac:dyDescent="0.35">
      <c r="A87" t="s">
        <v>457</v>
      </c>
      <c r="B87" t="s">
        <v>473</v>
      </c>
      <c r="C87" t="s">
        <v>474</v>
      </c>
      <c r="E87">
        <v>1E-3</v>
      </c>
      <c r="G87" t="s">
        <v>459</v>
      </c>
    </row>
    <row r="88" spans="1:7" x14ac:dyDescent="0.35">
      <c r="A88" t="s">
        <v>457</v>
      </c>
      <c r="B88" t="s">
        <v>475</v>
      </c>
      <c r="C88" t="s">
        <v>476</v>
      </c>
      <c r="E88">
        <v>1E-3</v>
      </c>
      <c r="G88" t="s">
        <v>459</v>
      </c>
    </row>
    <row r="90" spans="1:7" x14ac:dyDescent="0.35">
      <c r="A90" t="s">
        <v>481</v>
      </c>
      <c r="B90" t="s">
        <v>456</v>
      </c>
      <c r="C90" t="s">
        <v>458</v>
      </c>
      <c r="D90">
        <v>56700</v>
      </c>
      <c r="E90">
        <v>3550</v>
      </c>
      <c r="F90">
        <v>61600</v>
      </c>
      <c r="G90" t="s">
        <v>459</v>
      </c>
    </row>
    <row r="91" spans="1:7" x14ac:dyDescent="0.35">
      <c r="A91" t="s">
        <v>481</v>
      </c>
      <c r="B91" t="s">
        <v>460</v>
      </c>
      <c r="C91" t="s">
        <v>446</v>
      </c>
      <c r="D91">
        <f>97000000*0.86</f>
        <v>83420000</v>
      </c>
      <c r="E91">
        <f>320000000*0.86</f>
        <v>275200000</v>
      </c>
      <c r="F91">
        <f>35000000*0.86</f>
        <v>30100000</v>
      </c>
      <c r="G91" t="s">
        <v>459</v>
      </c>
    </row>
    <row r="92" spans="1:7" x14ac:dyDescent="0.35">
      <c r="A92" t="s">
        <v>481</v>
      </c>
      <c r="B92" t="s">
        <v>482</v>
      </c>
      <c r="C92" t="s">
        <v>462</v>
      </c>
      <c r="D92">
        <f>D91/D90</f>
        <v>1471.2522045855378</v>
      </c>
      <c r="E92">
        <f>E91/E90</f>
        <v>77521.126760563377</v>
      </c>
      <c r="F92">
        <f>F91/F90</f>
        <v>488.63636363636363</v>
      </c>
      <c r="G92" t="s">
        <v>459</v>
      </c>
    </row>
    <row r="93" spans="1:7" x14ac:dyDescent="0.35">
      <c r="A93" t="s">
        <v>481</v>
      </c>
      <c r="C93" t="s">
        <v>464</v>
      </c>
      <c r="D93">
        <f>D92*0.04</f>
        <v>58.850088183421512</v>
      </c>
      <c r="E93">
        <f>E92*0.04</f>
        <v>3100.8450704225352</v>
      </c>
      <c r="F93">
        <f>F92*0.04</f>
        <v>19.545454545454547</v>
      </c>
      <c r="G93" t="s">
        <v>480</v>
      </c>
    </row>
    <row r="94" spans="1:7" x14ac:dyDescent="0.35">
      <c r="A94" t="s">
        <v>481</v>
      </c>
      <c r="B94" t="s">
        <v>471</v>
      </c>
      <c r="C94" t="s">
        <v>483</v>
      </c>
      <c r="D94">
        <v>0.02</v>
      </c>
      <c r="E94">
        <v>0.2</v>
      </c>
      <c r="F94">
        <v>0.01</v>
      </c>
      <c r="G94" t="s">
        <v>459</v>
      </c>
    </row>
    <row r="95" spans="1:7" x14ac:dyDescent="0.35">
      <c r="A95" t="s">
        <v>481</v>
      </c>
      <c r="B95" t="s">
        <v>473</v>
      </c>
      <c r="C95" t="s">
        <v>474</v>
      </c>
      <c r="E95">
        <v>0.1</v>
      </c>
      <c r="G95" t="s">
        <v>459</v>
      </c>
    </row>
    <row r="97" spans="1:7" x14ac:dyDescent="0.35">
      <c r="D97" t="s">
        <v>526</v>
      </c>
      <c r="E97">
        <v>2030</v>
      </c>
      <c r="F97" t="s">
        <v>527</v>
      </c>
    </row>
    <row r="98" spans="1:7" x14ac:dyDescent="0.35">
      <c r="A98" t="s">
        <v>532</v>
      </c>
      <c r="B98" t="s">
        <v>482</v>
      </c>
      <c r="C98" t="s">
        <v>533</v>
      </c>
      <c r="D98" s="2">
        <v>900</v>
      </c>
      <c r="E98" s="2">
        <v>700</v>
      </c>
      <c r="F98" s="2">
        <v>450</v>
      </c>
      <c r="G98" t="s">
        <v>528</v>
      </c>
    </row>
    <row r="99" spans="1:7" x14ac:dyDescent="0.35">
      <c r="A99" t="s">
        <v>532</v>
      </c>
      <c r="B99" t="s">
        <v>482</v>
      </c>
      <c r="C99" t="s">
        <v>543</v>
      </c>
      <c r="D99" s="3">
        <f>D98*$D$13*1000</f>
        <v>792000</v>
      </c>
      <c r="E99" s="3">
        <f>E98*$D$13*1000</f>
        <v>616000</v>
      </c>
      <c r="F99" s="3">
        <f>F98*$D$13*1000</f>
        <v>396000</v>
      </c>
    </row>
    <row r="100" spans="1:7" x14ac:dyDescent="0.35">
      <c r="A100" t="s">
        <v>532</v>
      </c>
      <c r="B100" t="s">
        <v>425</v>
      </c>
      <c r="D100" s="2">
        <v>0.64</v>
      </c>
      <c r="E100" s="2">
        <v>0.69</v>
      </c>
      <c r="F100" s="2">
        <v>0.74</v>
      </c>
      <c r="G100" t="s">
        <v>528</v>
      </c>
    </row>
    <row r="101" spans="1:7" x14ac:dyDescent="0.35">
      <c r="A101" t="s">
        <v>532</v>
      </c>
      <c r="B101" t="s">
        <v>524</v>
      </c>
      <c r="C101" t="s">
        <v>534</v>
      </c>
      <c r="D101" s="2">
        <v>1.4999999999999999E-2</v>
      </c>
      <c r="E101" s="2">
        <v>1.4999999999999999E-2</v>
      </c>
      <c r="F101" s="2">
        <v>1.4999999999999999E-2</v>
      </c>
      <c r="G101" t="s">
        <v>528</v>
      </c>
    </row>
    <row r="102" spans="1:7" x14ac:dyDescent="0.35">
      <c r="A102" t="s">
        <v>532</v>
      </c>
      <c r="B102" t="s">
        <v>340</v>
      </c>
      <c r="C102" t="s">
        <v>489</v>
      </c>
      <c r="D102" s="2">
        <v>95000</v>
      </c>
      <c r="E102" s="2">
        <v>95000</v>
      </c>
      <c r="F102" s="2">
        <v>100000</v>
      </c>
      <c r="G102" t="s">
        <v>528</v>
      </c>
    </row>
    <row r="103" spans="1:7" x14ac:dyDescent="0.35">
      <c r="A103" t="s">
        <v>532</v>
      </c>
      <c r="B103" t="s">
        <v>340</v>
      </c>
      <c r="C103" t="s">
        <v>4</v>
      </c>
      <c r="D103" s="2">
        <f>D102/5000</f>
        <v>19</v>
      </c>
      <c r="E103" s="2">
        <f>E102/5000</f>
        <v>19</v>
      </c>
      <c r="F103" s="2">
        <f>F102/5000</f>
        <v>20</v>
      </c>
      <c r="G103" t="s">
        <v>528</v>
      </c>
    </row>
    <row r="104" spans="1:7" x14ac:dyDescent="0.35">
      <c r="D104" t="s">
        <v>526</v>
      </c>
      <c r="E104">
        <v>2030</v>
      </c>
      <c r="F104" t="s">
        <v>527</v>
      </c>
    </row>
    <row r="105" spans="1:7" x14ac:dyDescent="0.35">
      <c r="A105" t="s">
        <v>523</v>
      </c>
      <c r="B105" t="s">
        <v>482</v>
      </c>
      <c r="C105" t="s">
        <v>535</v>
      </c>
      <c r="D105" s="2">
        <v>890</v>
      </c>
      <c r="E105" s="2">
        <v>760</v>
      </c>
      <c r="F105" s="2">
        <v>565</v>
      </c>
      <c r="G105" t="s">
        <v>528</v>
      </c>
    </row>
    <row r="106" spans="1:7" x14ac:dyDescent="0.35">
      <c r="A106" t="s">
        <v>523</v>
      </c>
      <c r="B106" t="s">
        <v>482</v>
      </c>
      <c r="C106" t="s">
        <v>543</v>
      </c>
      <c r="D106" s="3">
        <f>D105*$D$13*1000</f>
        <v>783200</v>
      </c>
      <c r="E106" s="3">
        <f>E105*$D$13*1000</f>
        <v>668800</v>
      </c>
      <c r="F106" s="3">
        <f>F105*$D$13*1000</f>
        <v>497200</v>
      </c>
    </row>
    <row r="107" spans="1:7" x14ac:dyDescent="0.35">
      <c r="A107" t="s">
        <v>523</v>
      </c>
      <c r="B107" t="s">
        <v>425</v>
      </c>
      <c r="D107" s="2">
        <v>0.77</v>
      </c>
      <c r="E107" s="2">
        <v>0.77</v>
      </c>
      <c r="F107" s="2">
        <v>0.77</v>
      </c>
      <c r="G107" t="s">
        <v>528</v>
      </c>
    </row>
    <row r="108" spans="1:7" x14ac:dyDescent="0.35">
      <c r="A108" t="s">
        <v>523</v>
      </c>
      <c r="B108" t="s">
        <v>425</v>
      </c>
      <c r="D108" s="2"/>
      <c r="E108" s="2"/>
      <c r="F108" s="2"/>
    </row>
    <row r="109" spans="1:7" x14ac:dyDescent="0.35">
      <c r="A109" t="s">
        <v>523</v>
      </c>
      <c r="B109" t="s">
        <v>524</v>
      </c>
      <c r="C109" t="s">
        <v>534</v>
      </c>
      <c r="D109" s="2">
        <v>0.04</v>
      </c>
      <c r="E109" s="2">
        <v>0.04</v>
      </c>
      <c r="F109" s="2">
        <v>0.04</v>
      </c>
      <c r="G109" t="s">
        <v>528</v>
      </c>
    </row>
    <row r="110" spans="1:7" x14ac:dyDescent="0.35">
      <c r="A110" t="s">
        <v>523</v>
      </c>
      <c r="B110" t="s">
        <v>340</v>
      </c>
      <c r="C110" t="s">
        <v>4</v>
      </c>
      <c r="D110" s="2">
        <v>30</v>
      </c>
      <c r="E110" s="2">
        <v>30</v>
      </c>
      <c r="F110" s="2">
        <v>30</v>
      </c>
      <c r="G110" t="s">
        <v>528</v>
      </c>
    </row>
    <row r="111" spans="1:7" x14ac:dyDescent="0.35">
      <c r="A111" t="s">
        <v>523</v>
      </c>
      <c r="B111" t="s">
        <v>525</v>
      </c>
      <c r="C111" t="s">
        <v>536</v>
      </c>
      <c r="D111" s="2">
        <v>1.2999999999999999E-2</v>
      </c>
      <c r="E111" s="2">
        <v>1.2999999999999999E-2</v>
      </c>
      <c r="F111" s="2">
        <v>1.2999999999999999E-2</v>
      </c>
      <c r="G111" t="s">
        <v>528</v>
      </c>
    </row>
    <row r="112" spans="1:7" x14ac:dyDescent="0.35">
      <c r="D112" t="s">
        <v>526</v>
      </c>
      <c r="E112">
        <v>2030</v>
      </c>
      <c r="F112" t="s">
        <v>527</v>
      </c>
    </row>
    <row r="113" spans="1:7" x14ac:dyDescent="0.35">
      <c r="A113" t="s">
        <v>529</v>
      </c>
      <c r="B113" t="s">
        <v>482</v>
      </c>
      <c r="C113" t="s">
        <v>537</v>
      </c>
      <c r="D113" s="2">
        <v>890</v>
      </c>
      <c r="E113" s="2">
        <v>760</v>
      </c>
      <c r="F113" s="2">
        <v>565</v>
      </c>
      <c r="G113" t="s">
        <v>528</v>
      </c>
    </row>
    <row r="114" spans="1:7" x14ac:dyDescent="0.35">
      <c r="A114" t="s">
        <v>529</v>
      </c>
      <c r="B114" t="s">
        <v>482</v>
      </c>
      <c r="C114" t="s">
        <v>543</v>
      </c>
      <c r="D114" s="3">
        <f>D113*$D$13*1000</f>
        <v>783200</v>
      </c>
      <c r="E114" s="3">
        <f>E113*$D$13*1000</f>
        <v>668800</v>
      </c>
      <c r="F114" s="3">
        <f>F113*$D$13*1000</f>
        <v>497200</v>
      </c>
    </row>
    <row r="115" spans="1:7" x14ac:dyDescent="0.35">
      <c r="A115" t="s">
        <v>529</v>
      </c>
      <c r="B115" t="s">
        <v>425</v>
      </c>
      <c r="D115" s="2">
        <v>0.73</v>
      </c>
      <c r="E115" s="2">
        <v>0.73</v>
      </c>
      <c r="F115" s="2">
        <v>0.73</v>
      </c>
      <c r="G115" t="s">
        <v>528</v>
      </c>
    </row>
    <row r="116" spans="1:7" x14ac:dyDescent="0.35">
      <c r="A116" t="s">
        <v>529</v>
      </c>
      <c r="B116" t="s">
        <v>524</v>
      </c>
      <c r="C116" t="s">
        <v>534</v>
      </c>
      <c r="D116" s="2">
        <v>0.04</v>
      </c>
      <c r="E116" s="2">
        <v>0.04</v>
      </c>
      <c r="F116" s="2">
        <v>0.04</v>
      </c>
      <c r="G116" t="s">
        <v>528</v>
      </c>
    </row>
    <row r="117" spans="1:7" x14ac:dyDescent="0.35">
      <c r="A117" t="s">
        <v>529</v>
      </c>
      <c r="B117" t="s">
        <v>340</v>
      </c>
      <c r="C117" t="s">
        <v>4</v>
      </c>
      <c r="D117" s="2">
        <v>30</v>
      </c>
      <c r="E117" s="2">
        <v>30</v>
      </c>
      <c r="F117" s="2">
        <v>30</v>
      </c>
      <c r="G117" t="s">
        <v>528</v>
      </c>
    </row>
    <row r="118" spans="1:7" x14ac:dyDescent="0.35">
      <c r="A118" t="s">
        <v>529</v>
      </c>
      <c r="B118" t="s">
        <v>525</v>
      </c>
      <c r="C118" t="s">
        <v>538</v>
      </c>
      <c r="D118" s="2">
        <v>1.7999999999999999E-2</v>
      </c>
      <c r="E118" s="2">
        <v>1.7999999999999999E-2</v>
      </c>
      <c r="F118" s="2">
        <v>1.7999999999999999E-2</v>
      </c>
      <c r="G118" t="s">
        <v>528</v>
      </c>
    </row>
    <row r="119" spans="1:7" x14ac:dyDescent="0.35">
      <c r="D119" t="s">
        <v>526</v>
      </c>
      <c r="E119">
        <v>2030</v>
      </c>
      <c r="F119" t="s">
        <v>527</v>
      </c>
    </row>
    <row r="120" spans="1:7" x14ac:dyDescent="0.35">
      <c r="A120" t="s">
        <v>531</v>
      </c>
      <c r="B120" t="s">
        <v>482</v>
      </c>
      <c r="C120" t="s">
        <v>539</v>
      </c>
      <c r="D120" s="2">
        <v>1160</v>
      </c>
      <c r="E120" s="2">
        <v>885</v>
      </c>
      <c r="F120" s="2">
        <v>575</v>
      </c>
      <c r="G120" t="s">
        <v>528</v>
      </c>
    </row>
    <row r="121" spans="1:7" x14ac:dyDescent="0.35">
      <c r="A121" t="s">
        <v>531</v>
      </c>
      <c r="B121" t="s">
        <v>482</v>
      </c>
      <c r="C121" t="s">
        <v>102</v>
      </c>
      <c r="D121" s="3">
        <f>D120*$D$13*$D$9</f>
        <v>5308.16</v>
      </c>
      <c r="E121" s="3">
        <f>E120*$D$13*$D$9</f>
        <v>4049.7599999999998</v>
      </c>
      <c r="F121" s="3">
        <f>F120*$D$13*$D$9</f>
        <v>2631.2000000000003</v>
      </c>
    </row>
    <row r="122" spans="1:7" x14ac:dyDescent="0.35">
      <c r="A122" t="s">
        <v>531</v>
      </c>
      <c r="B122" t="s">
        <v>524</v>
      </c>
      <c r="C122" t="s">
        <v>534</v>
      </c>
      <c r="D122" s="2">
        <v>1.4999999999999999E-2</v>
      </c>
      <c r="E122" s="2">
        <v>1.4999999999999999E-2</v>
      </c>
      <c r="F122" s="2">
        <v>1.4999999999999999E-2</v>
      </c>
      <c r="G122" t="s">
        <v>528</v>
      </c>
    </row>
    <row r="123" spans="1:7" x14ac:dyDescent="0.35">
      <c r="A123" t="s">
        <v>531</v>
      </c>
      <c r="B123" t="s">
        <v>525</v>
      </c>
      <c r="C123" t="s">
        <v>540</v>
      </c>
      <c r="D123" s="2">
        <v>37.799999999999997</v>
      </c>
      <c r="E123" s="2">
        <v>35.299999999999997</v>
      </c>
      <c r="F123" s="2">
        <v>33.200000000000003</v>
      </c>
      <c r="G123" t="s">
        <v>528</v>
      </c>
    </row>
    <row r="124" spans="1:7" x14ac:dyDescent="0.35">
      <c r="G124" t="s">
        <v>575</v>
      </c>
    </row>
    <row r="125" spans="1:7" x14ac:dyDescent="0.35">
      <c r="A125" t="s">
        <v>576</v>
      </c>
      <c r="B125" t="s">
        <v>482</v>
      </c>
      <c r="C125" t="s">
        <v>577</v>
      </c>
      <c r="D125">
        <v>600</v>
      </c>
    </row>
    <row r="126" spans="1:7" x14ac:dyDescent="0.35">
      <c r="A126" t="s">
        <v>576</v>
      </c>
      <c r="B126" t="s">
        <v>578</v>
      </c>
      <c r="C126" t="s">
        <v>579</v>
      </c>
      <c r="D126">
        <v>5.0000000000000001E-3</v>
      </c>
    </row>
    <row r="127" spans="1:7" x14ac:dyDescent="0.35">
      <c r="F127" t="s">
        <v>544</v>
      </c>
    </row>
    <row r="128" spans="1:7" x14ac:dyDescent="0.35">
      <c r="A128" t="s">
        <v>530</v>
      </c>
      <c r="C128" t="s">
        <v>526</v>
      </c>
      <c r="D128">
        <v>2030</v>
      </c>
      <c r="E128" t="s">
        <v>527</v>
      </c>
    </row>
    <row r="129" spans="1:6" x14ac:dyDescent="0.35">
      <c r="A129" t="s">
        <v>482</v>
      </c>
      <c r="B129" t="s">
        <v>541</v>
      </c>
      <c r="C129" s="2">
        <v>790</v>
      </c>
      <c r="D129" s="2">
        <v>595</v>
      </c>
      <c r="E129" s="2">
        <v>380</v>
      </c>
      <c r="F129" t="s">
        <v>528</v>
      </c>
    </row>
    <row r="130" spans="1:6" x14ac:dyDescent="0.35">
      <c r="A130" t="s">
        <v>482</v>
      </c>
      <c r="B130" t="s">
        <v>102</v>
      </c>
      <c r="C130" s="3">
        <f>C129*$D$13*$D$10</f>
        <v>3823.6000000000004</v>
      </c>
      <c r="D130" s="3">
        <f t="shared" ref="D130:E130" si="23">D129*$D$13*$D$10</f>
        <v>2879.8</v>
      </c>
      <c r="E130" s="3">
        <f t="shared" si="23"/>
        <v>1839.1999999999998</v>
      </c>
    </row>
    <row r="131" spans="1:6" x14ac:dyDescent="0.35">
      <c r="A131" t="s">
        <v>524</v>
      </c>
      <c r="B131" t="s">
        <v>534</v>
      </c>
      <c r="C131" s="2">
        <v>1.4999999999999999E-2</v>
      </c>
      <c r="D131" s="2">
        <v>1.4999999999999999E-2</v>
      </c>
      <c r="E131" s="2">
        <v>1.4999999999999999E-2</v>
      </c>
      <c r="F131" t="s">
        <v>528</v>
      </c>
    </row>
    <row r="132" spans="1:6" x14ac:dyDescent="0.35">
      <c r="A132" t="s">
        <v>525</v>
      </c>
      <c r="B132" t="s">
        <v>542</v>
      </c>
      <c r="C132" s="2">
        <v>25.4</v>
      </c>
      <c r="D132" s="33">
        <v>23.7</v>
      </c>
      <c r="E132" s="2">
        <v>22.2</v>
      </c>
      <c r="F132" t="s">
        <v>528</v>
      </c>
    </row>
    <row r="135" spans="1:6" x14ac:dyDescent="0.35">
      <c r="A135" t="s">
        <v>545</v>
      </c>
      <c r="C135" t="s">
        <v>128</v>
      </c>
      <c r="D135" t="s">
        <v>520</v>
      </c>
      <c r="E135" t="s">
        <v>519</v>
      </c>
    </row>
    <row r="136" spans="1:6" x14ac:dyDescent="0.35">
      <c r="A136" t="s">
        <v>546</v>
      </c>
      <c r="B136" t="s">
        <v>548</v>
      </c>
      <c r="C136" s="2">
        <v>260</v>
      </c>
      <c r="D136" s="2"/>
      <c r="E136" s="2"/>
      <c r="F136" t="s">
        <v>528</v>
      </c>
    </row>
    <row r="137" spans="1:6" x14ac:dyDescent="0.35">
      <c r="B137" t="s">
        <v>34</v>
      </c>
      <c r="C137" s="10">
        <f>C136*1000*$D$7/C138</f>
        <v>1444.3</v>
      </c>
      <c r="D137" s="3">
        <f>D136*1000*$D$9</f>
        <v>0</v>
      </c>
      <c r="E137" s="3"/>
    </row>
    <row r="138" spans="1:6" x14ac:dyDescent="0.35">
      <c r="A138" t="s">
        <v>552</v>
      </c>
      <c r="B138" t="s">
        <v>489</v>
      </c>
      <c r="C138" s="10">
        <v>6000</v>
      </c>
      <c r="D138" s="3">
        <v>6000</v>
      </c>
      <c r="E138" s="3"/>
    </row>
    <row r="139" spans="1:6" x14ac:dyDescent="0.35">
      <c r="A139" t="s">
        <v>547</v>
      </c>
      <c r="B139" t="s">
        <v>549</v>
      </c>
      <c r="C139" s="2">
        <f>1400</f>
        <v>1400</v>
      </c>
      <c r="D139" s="2"/>
      <c r="E139" s="2"/>
      <c r="F139" t="s">
        <v>528</v>
      </c>
    </row>
    <row r="140" spans="1:6" x14ac:dyDescent="0.35">
      <c r="B140" t="s">
        <v>446</v>
      </c>
      <c r="C140" s="3">
        <f>C139*$D$13*1000000</f>
        <v>1232000000</v>
      </c>
      <c r="D140" s="3"/>
      <c r="E140" s="3"/>
    </row>
    <row r="141" spans="1:6" x14ac:dyDescent="0.35">
      <c r="A141" t="s">
        <v>482</v>
      </c>
      <c r="B141" t="s">
        <v>543</v>
      </c>
      <c r="C141" s="9">
        <f>C140/C137</f>
        <v>853008.37776085304</v>
      </c>
      <c r="D141" s="3"/>
      <c r="E141" s="3"/>
    </row>
    <row r="142" spans="1:6" x14ac:dyDescent="0.35">
      <c r="A142" t="s">
        <v>524</v>
      </c>
      <c r="B142" t="s">
        <v>534</v>
      </c>
      <c r="C142" s="2">
        <v>0.04</v>
      </c>
      <c r="D142" s="2"/>
      <c r="E142" s="2"/>
      <c r="F142" t="s">
        <v>528</v>
      </c>
    </row>
    <row r="143" spans="1:6" x14ac:dyDescent="0.35">
      <c r="A143" t="s">
        <v>340</v>
      </c>
      <c r="B143" t="s">
        <v>4</v>
      </c>
      <c r="C143" s="2">
        <v>40</v>
      </c>
      <c r="D143" s="2">
        <v>40</v>
      </c>
      <c r="E143" s="2"/>
      <c r="F143" t="s">
        <v>528</v>
      </c>
    </row>
    <row r="144" spans="1:6" x14ac:dyDescent="0.35">
      <c r="A144" s="30" t="s">
        <v>405</v>
      </c>
      <c r="B144" s="30" t="s">
        <v>550</v>
      </c>
      <c r="C144" s="2"/>
      <c r="D144" s="2"/>
      <c r="E144" s="2"/>
      <c r="F144" t="s">
        <v>528</v>
      </c>
    </row>
    <row r="145" spans="1:6" x14ac:dyDescent="0.35">
      <c r="A145" s="30" t="s">
        <v>405</v>
      </c>
      <c r="B145" s="30" t="s">
        <v>551</v>
      </c>
      <c r="C145" s="2"/>
      <c r="D145" s="2"/>
      <c r="E145" s="2"/>
      <c r="F145" t="s">
        <v>528</v>
      </c>
    </row>
    <row r="146" spans="1:6" x14ac:dyDescent="0.35">
      <c r="B146" s="30"/>
    </row>
    <row r="147" spans="1:6" x14ac:dyDescent="0.35">
      <c r="A147" t="s">
        <v>457</v>
      </c>
      <c r="B147" s="30"/>
    </row>
    <row r="148" spans="1:6" x14ac:dyDescent="0.35">
      <c r="A148" t="s">
        <v>456</v>
      </c>
      <c r="B148" s="30" t="s">
        <v>557</v>
      </c>
      <c r="C148">
        <v>3190</v>
      </c>
      <c r="D148">
        <v>34100</v>
      </c>
    </row>
    <row r="149" spans="1:6" x14ac:dyDescent="0.35">
      <c r="B149" s="30" t="s">
        <v>40</v>
      </c>
      <c r="C149">
        <f>C148*$D$7</f>
        <v>106322.7</v>
      </c>
      <c r="D149">
        <f>D148*$D$7</f>
        <v>1136553</v>
      </c>
    </row>
    <row r="150" spans="1:6" x14ac:dyDescent="0.35">
      <c r="A150" t="s">
        <v>553</v>
      </c>
      <c r="B150" s="30" t="s">
        <v>15</v>
      </c>
      <c r="C150">
        <v>1</v>
      </c>
      <c r="D150">
        <v>1</v>
      </c>
    </row>
    <row r="151" spans="1:6" x14ac:dyDescent="0.35">
      <c r="A151" t="s">
        <v>460</v>
      </c>
      <c r="B151" s="30" t="s">
        <v>549</v>
      </c>
      <c r="C151">
        <v>290</v>
      </c>
      <c r="D151">
        <v>68</v>
      </c>
    </row>
    <row r="152" spans="1:6" x14ac:dyDescent="0.35">
      <c r="A152" t="s">
        <v>482</v>
      </c>
      <c r="B152" s="30" t="s">
        <v>543</v>
      </c>
      <c r="C152" s="26">
        <f>C151*10^6*$D$13/C149*6000</f>
        <v>14401440.144014401</v>
      </c>
      <c r="D152" s="26">
        <f>D151*10^6*$D$13/D149*6000</f>
        <v>315902.55799773522</v>
      </c>
      <c r="E152" s="26"/>
    </row>
    <row r="153" spans="1:6" x14ac:dyDescent="0.35">
      <c r="A153" t="s">
        <v>524</v>
      </c>
      <c r="B153" t="s">
        <v>534</v>
      </c>
      <c r="C153">
        <v>0.04</v>
      </c>
      <c r="D153">
        <v>0.04</v>
      </c>
    </row>
    <row r="154" spans="1:6" x14ac:dyDescent="0.35">
      <c r="A154" t="s">
        <v>554</v>
      </c>
      <c r="B154" s="24" t="s">
        <v>472</v>
      </c>
      <c r="C154">
        <v>0.61</v>
      </c>
      <c r="D154">
        <v>5.0000000000000001E-3</v>
      </c>
    </row>
    <row r="155" spans="1:6" x14ac:dyDescent="0.35">
      <c r="A155" t="s">
        <v>555</v>
      </c>
      <c r="B155" s="24" t="s">
        <v>558</v>
      </c>
      <c r="C155">
        <v>1E-3</v>
      </c>
    </row>
    <row r="156" spans="1:6" x14ac:dyDescent="0.35">
      <c r="A156" t="s">
        <v>556</v>
      </c>
      <c r="B156" s="24" t="s">
        <v>476</v>
      </c>
      <c r="C156">
        <v>1E-3</v>
      </c>
    </row>
    <row r="157" spans="1:6" x14ac:dyDescent="0.35">
      <c r="B157" s="24"/>
    </row>
    <row r="158" spans="1:6" x14ac:dyDescent="0.35">
      <c r="A158" t="s">
        <v>481</v>
      </c>
    </row>
    <row r="159" spans="1:6" x14ac:dyDescent="0.35">
      <c r="A159" t="s">
        <v>456</v>
      </c>
      <c r="B159" s="30" t="s">
        <v>557</v>
      </c>
      <c r="C159">
        <v>3550</v>
      </c>
      <c r="D159">
        <v>56700</v>
      </c>
    </row>
    <row r="160" spans="1:6" x14ac:dyDescent="0.35">
      <c r="B160" s="30" t="s">
        <v>40</v>
      </c>
      <c r="C160">
        <f>C159*$D$7</f>
        <v>118321.5</v>
      </c>
      <c r="D160">
        <f>D159*$D$7</f>
        <v>1889811</v>
      </c>
    </row>
    <row r="161" spans="1:5" x14ac:dyDescent="0.35">
      <c r="A161" t="s">
        <v>553</v>
      </c>
      <c r="B161" s="30" t="s">
        <v>15</v>
      </c>
      <c r="C161">
        <v>1</v>
      </c>
      <c r="D161">
        <v>1</v>
      </c>
    </row>
    <row r="162" spans="1:5" x14ac:dyDescent="0.35">
      <c r="A162" t="s">
        <v>460</v>
      </c>
      <c r="B162" s="30" t="s">
        <v>549</v>
      </c>
      <c r="C162">
        <v>320</v>
      </c>
      <c r="D162">
        <v>97</v>
      </c>
    </row>
    <row r="163" spans="1:5" x14ac:dyDescent="0.35">
      <c r="A163" t="s">
        <v>482</v>
      </c>
      <c r="B163" s="30" t="s">
        <v>543</v>
      </c>
      <c r="C163" s="26">
        <f>C162*10^6*$D$13/C160*6000</f>
        <v>14279737.832938224</v>
      </c>
      <c r="D163" s="26">
        <f>D162*10^6*$D$13/D160*6000</f>
        <v>271011.22810693766</v>
      </c>
      <c r="E163" s="26"/>
    </row>
    <row r="164" spans="1:5" x14ac:dyDescent="0.35">
      <c r="A164" t="s">
        <v>524</v>
      </c>
      <c r="B164" t="s">
        <v>534</v>
      </c>
      <c r="C164">
        <v>0.04</v>
      </c>
      <c r="D164">
        <v>0.04</v>
      </c>
    </row>
    <row r="165" spans="1:5" x14ac:dyDescent="0.35">
      <c r="A165" t="s">
        <v>554</v>
      </c>
      <c r="B165" s="24" t="s">
        <v>472</v>
      </c>
      <c r="C165">
        <v>0.2</v>
      </c>
      <c r="D165">
        <v>0.02</v>
      </c>
    </row>
    <row r="166" spans="1:5" x14ac:dyDescent="0.35">
      <c r="A166" t="s">
        <v>554</v>
      </c>
      <c r="B166" s="24" t="s">
        <v>551</v>
      </c>
      <c r="C166" s="1">
        <f>C165/$D$7</f>
        <v>6.0006000600060011E-3</v>
      </c>
      <c r="D166" s="1">
        <f>D165/$D$7</f>
        <v>6.0006000600060011E-4</v>
      </c>
      <c r="E166" s="1"/>
    </row>
    <row r="167" spans="1:5" x14ac:dyDescent="0.35">
      <c r="A167" t="s">
        <v>555</v>
      </c>
      <c r="B167" s="24" t="s">
        <v>558</v>
      </c>
      <c r="C167">
        <v>1E-3</v>
      </c>
    </row>
    <row r="168" spans="1:5" x14ac:dyDescent="0.35">
      <c r="B168" s="24"/>
    </row>
    <row r="169" spans="1:5" x14ac:dyDescent="0.35">
      <c r="A169" t="s">
        <v>567</v>
      </c>
      <c r="B169" s="24" t="s">
        <v>543</v>
      </c>
      <c r="C169" s="33">
        <f>(C163+C152)/2</f>
        <v>14340588.988476314</v>
      </c>
      <c r="D169" s="33">
        <f>(D163+D152)/2</f>
        <v>293456.89305233641</v>
      </c>
      <c r="E169" s="26"/>
    </row>
    <row r="170" spans="1:5" x14ac:dyDescent="0.35">
      <c r="B170" s="24"/>
    </row>
    <row r="171" spans="1:5" x14ac:dyDescent="0.35">
      <c r="A171" t="s">
        <v>559</v>
      </c>
    </row>
    <row r="172" spans="1:5" x14ac:dyDescent="0.35">
      <c r="A172" t="s">
        <v>561</v>
      </c>
      <c r="D172">
        <v>1500</v>
      </c>
    </row>
    <row r="173" spans="1:5" x14ac:dyDescent="0.35">
      <c r="A173" t="s">
        <v>560</v>
      </c>
      <c r="D173">
        <v>460</v>
      </c>
    </row>
    <row r="174" spans="1:5" x14ac:dyDescent="0.35">
      <c r="A174" t="s">
        <v>524</v>
      </c>
      <c r="D174">
        <v>0.04</v>
      </c>
    </row>
    <row r="175" spans="1:5" x14ac:dyDescent="0.35">
      <c r="A175" t="s">
        <v>562</v>
      </c>
      <c r="D175">
        <v>9.6999999999999993</v>
      </c>
    </row>
    <row r="176" spans="1:5" x14ac:dyDescent="0.35">
      <c r="A176" t="s">
        <v>563</v>
      </c>
    </row>
    <row r="177" spans="1:4" x14ac:dyDescent="0.35">
      <c r="A177" t="s">
        <v>564</v>
      </c>
      <c r="D177">
        <v>1.5</v>
      </c>
    </row>
    <row r="178" spans="1:4" x14ac:dyDescent="0.35">
      <c r="A178" t="s">
        <v>565</v>
      </c>
      <c r="D178">
        <v>0.99</v>
      </c>
    </row>
    <row r="179" spans="1:4" x14ac:dyDescent="0.35">
      <c r="A179" t="s">
        <v>566</v>
      </c>
      <c r="D179">
        <v>0.85</v>
      </c>
    </row>
    <row r="180" spans="1:4" x14ac:dyDescent="0.35">
      <c r="A180" t="s">
        <v>340</v>
      </c>
      <c r="B180" t="s">
        <v>4</v>
      </c>
      <c r="C180">
        <v>30</v>
      </c>
      <c r="D180">
        <v>30</v>
      </c>
    </row>
  </sheetData>
  <hyperlinks>
    <hyperlink ref="F14" r:id="rId1" xr:uid="{4BDCABF1-3A89-428E-9B2B-83426E7C217A}"/>
    <hyperlink ref="D38" r:id="rId2" display="https://www.offshore-energy.biz/worlds-1st-lh2-carrier-suiso-frontier-departs-for-australia/" xr:uid="{CF5ADE08-1DF0-4C38-8BEF-FB506BFE00E6}"/>
    <hyperlink ref="G22" r:id="rId3" display="https://shipandbunker.com/prices" xr:uid="{9BC48E37-7A75-4688-9B34-11964C4672C9}"/>
    <hyperlink ref="G23" r:id="rId4" display="https://shipandbunker.com/prices" xr:uid="{28E097AB-7717-4E62-85F0-B2DD6600E478}"/>
    <hyperlink ref="K26" r:id="rId5" display="https://shipandbunker.com/prices" xr:uid="{02326772-CA8F-43A8-8457-602927CF3ACF}"/>
    <hyperlink ref="K27" r:id="rId6" display="https://shipandbunker.com/prices" xr:uid="{C77D34EE-41D0-49FC-B1A3-727314B7AFBF}"/>
    <hyperlink ref="K28" r:id="rId7" display="https://shipandbunker.com/prices" xr:uid="{DB7CB741-B39B-4834-981E-13F9F6944A83}"/>
    <hyperlink ref="K29" r:id="rId8" display="https://shipandbunker.com/prices" xr:uid="{4CA045A4-2AE1-45D6-BB74-3B1E2A14C3AF}"/>
    <hyperlink ref="K30" r:id="rId9" display="https://shipandbunker.com/prices" xr:uid="{C7A88EBD-D67C-4815-8917-87BEAF835420}"/>
    <hyperlink ref="K31" r:id="rId10" display="https://shipandbunker.com/prices" xr:uid="{4E88535D-4221-45FF-A284-E74F32871047}"/>
    <hyperlink ref="K32" r:id="rId11" display="https://shipandbunker.com/prices" xr:uid="{62A99D1D-0898-42FC-944C-140DF6274ABC}"/>
    <hyperlink ref="K33" r:id="rId12" display="https://shipandbunker.com/prices" xr:uid="{4CA16901-24D9-42AC-B687-184DDF324A49}"/>
    <hyperlink ref="G17" r:id="rId13" display="https://www.umweltbundesamt.de/sites/default/files/medien/1968/publikationen/co2_emission_factors_for_fossil_fuels_correction.pdf" xr:uid="{EB0DE161-6586-4E99-80DC-A40A1C8FD00D}"/>
    <hyperlink ref="Y28" r:id="rId14" xr:uid="{A7BD7EA9-E74D-454C-BF00-5D06E1581517}"/>
  </hyperlinks>
  <pageMargins left="0.7" right="0.7" top="0.78740157499999996" bottom="0.78740157499999996" header="0.3" footer="0.3"/>
  <drawing r:id="rId15"/>
  <legacy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ABE1-3408-43E4-B308-9237F0704418}">
  <dimension ref="A1:N27"/>
  <sheetViews>
    <sheetView tabSelected="1" zoomScaleNormal="100" workbookViewId="0">
      <selection activeCell="I35" sqref="I35"/>
    </sheetView>
  </sheetViews>
  <sheetFormatPr baseColWidth="10" defaultRowHeight="14.5" x14ac:dyDescent="0.35"/>
  <cols>
    <col min="1" max="1" width="20.453125" bestFit="1" customWidth="1"/>
    <col min="2" max="2" width="15.08984375" bestFit="1" customWidth="1"/>
    <col min="3" max="3" width="13.90625" bestFit="1" customWidth="1"/>
    <col min="4" max="4" width="11.81640625" bestFit="1" customWidth="1"/>
    <col min="5" max="5" width="15.08984375" bestFit="1" customWidth="1"/>
    <col min="6" max="6" width="7.453125" bestFit="1" customWidth="1"/>
    <col min="7" max="7" width="21.08984375" bestFit="1" customWidth="1"/>
    <col min="8" max="8" width="20" bestFit="1" customWidth="1"/>
    <col min="9" max="9" width="19.08984375" bestFit="1" customWidth="1"/>
    <col min="10" max="10" width="13.90625" bestFit="1" customWidth="1"/>
    <col min="11" max="11" width="22.90625" bestFit="1" customWidth="1"/>
    <col min="12" max="12" width="17.453125" bestFit="1" customWidth="1"/>
  </cols>
  <sheetData>
    <row r="1" spans="1:14" x14ac:dyDescent="0.35">
      <c r="D1" t="s">
        <v>328</v>
      </c>
      <c r="E1" t="s">
        <v>343</v>
      </c>
      <c r="F1" t="s">
        <v>340</v>
      </c>
      <c r="G1" t="s">
        <v>583</v>
      </c>
      <c r="H1" t="s">
        <v>584</v>
      </c>
      <c r="I1" t="s">
        <v>585</v>
      </c>
      <c r="J1" t="s">
        <v>467</v>
      </c>
      <c r="K1" t="s">
        <v>586</v>
      </c>
      <c r="L1" t="s">
        <v>422</v>
      </c>
    </row>
    <row r="2" spans="1:14" x14ac:dyDescent="0.35">
      <c r="A2" t="s">
        <v>598</v>
      </c>
      <c r="B2" t="s">
        <v>597</v>
      </c>
      <c r="C2" t="s">
        <v>599</v>
      </c>
      <c r="D2" t="s">
        <v>543</v>
      </c>
      <c r="E2" t="s">
        <v>14</v>
      </c>
      <c r="F2" t="s">
        <v>4</v>
      </c>
      <c r="G2" t="s">
        <v>15</v>
      </c>
      <c r="H2" t="s">
        <v>15</v>
      </c>
      <c r="I2" t="s">
        <v>602</v>
      </c>
      <c r="J2" t="s">
        <v>587</v>
      </c>
      <c r="K2" t="s">
        <v>588</v>
      </c>
      <c r="L2" t="s">
        <v>589</v>
      </c>
    </row>
    <row r="3" spans="1:14" x14ac:dyDescent="0.35">
      <c r="A3" s="45" t="s">
        <v>354</v>
      </c>
      <c r="B3" t="s">
        <v>545</v>
      </c>
      <c r="C3" s="45" t="s">
        <v>596</v>
      </c>
      <c r="D3" s="45">
        <v>938550</v>
      </c>
      <c r="E3" s="45">
        <v>6000</v>
      </c>
      <c r="F3" s="46">
        <v>30</v>
      </c>
      <c r="G3" s="45">
        <v>0.98</v>
      </c>
      <c r="H3" s="45">
        <v>0.74497449744974498</v>
      </c>
      <c r="I3" s="47"/>
      <c r="J3" s="45">
        <v>3.2500000000000001E-2</v>
      </c>
      <c r="K3" s="45">
        <v>0</v>
      </c>
      <c r="L3" s="47"/>
      <c r="N3" s="60" t="s">
        <v>618</v>
      </c>
    </row>
    <row r="4" spans="1:14" x14ac:dyDescent="0.35">
      <c r="A4" s="45" t="s">
        <v>354</v>
      </c>
      <c r="B4" t="s">
        <v>614</v>
      </c>
      <c r="F4" s="26"/>
    </row>
    <row r="5" spans="1:14" x14ac:dyDescent="0.35">
      <c r="A5" s="45" t="s">
        <v>354</v>
      </c>
      <c r="B5" t="s">
        <v>603</v>
      </c>
      <c r="F5" s="26"/>
    </row>
    <row r="6" spans="1:14" x14ac:dyDescent="0.35">
      <c r="A6" s="45" t="s">
        <v>354</v>
      </c>
      <c r="B6" t="s">
        <v>604</v>
      </c>
      <c r="F6" s="26"/>
    </row>
    <row r="7" spans="1:14" x14ac:dyDescent="0.35">
      <c r="A7" s="45" t="s">
        <v>354</v>
      </c>
      <c r="C7" s="45" t="s">
        <v>594</v>
      </c>
      <c r="D7" s="46">
        <v>14340588.988476301</v>
      </c>
      <c r="E7" s="45">
        <v>6000</v>
      </c>
      <c r="F7" s="45">
        <v>30</v>
      </c>
      <c r="G7" s="45">
        <v>1</v>
      </c>
      <c r="H7" s="45">
        <v>1</v>
      </c>
      <c r="I7" s="47"/>
      <c r="J7" s="57">
        <v>0.04</v>
      </c>
      <c r="K7" s="45">
        <v>0</v>
      </c>
      <c r="L7" s="47"/>
    </row>
    <row r="8" spans="1:14" x14ac:dyDescent="0.35">
      <c r="A8" s="45" t="s">
        <v>354</v>
      </c>
      <c r="C8" s="45" t="s">
        <v>595</v>
      </c>
      <c r="D8" s="45">
        <v>144364800</v>
      </c>
      <c r="E8" s="45">
        <v>4380</v>
      </c>
      <c r="F8" s="45">
        <v>25</v>
      </c>
      <c r="G8" s="45">
        <v>0.98699999999999999</v>
      </c>
      <c r="H8" s="45">
        <v>1</v>
      </c>
      <c r="I8" s="61">
        <f t="shared" ref="I8" si="0">0.002/720</f>
        <v>2.7777777777777779E-6</v>
      </c>
      <c r="J8" s="57">
        <v>0.04</v>
      </c>
      <c r="K8" s="47"/>
      <c r="L8" s="57">
        <v>3.459434066044673E-4</v>
      </c>
    </row>
    <row r="9" spans="1:14" x14ac:dyDescent="0.35">
      <c r="A9" s="45" t="s">
        <v>354</v>
      </c>
      <c r="B9" t="s">
        <v>590</v>
      </c>
      <c r="C9" s="45" t="s">
        <v>559</v>
      </c>
      <c r="D9" s="46">
        <v>226010</v>
      </c>
      <c r="E9" s="45">
        <v>6000</v>
      </c>
      <c r="F9" s="46">
        <v>30</v>
      </c>
      <c r="G9" s="45">
        <v>0.98</v>
      </c>
      <c r="H9" s="45">
        <v>0.98</v>
      </c>
      <c r="I9" s="47"/>
      <c r="J9" s="48">
        <v>0.03</v>
      </c>
      <c r="K9" s="49">
        <v>6.0006000600060011E-3</v>
      </c>
      <c r="L9" s="47"/>
    </row>
    <row r="10" spans="1:14" x14ac:dyDescent="0.35">
      <c r="A10" s="44" t="s">
        <v>520</v>
      </c>
      <c r="B10" t="s">
        <v>591</v>
      </c>
      <c r="D10" s="54">
        <v>4143791</v>
      </c>
      <c r="E10" s="23"/>
      <c r="F10" s="23"/>
      <c r="G10" s="53">
        <v>1</v>
      </c>
      <c r="J10" s="53">
        <v>0.03</v>
      </c>
      <c r="K10" s="53">
        <v>3.9899999999999998E-2</v>
      </c>
    </row>
    <row r="11" spans="1:14" x14ac:dyDescent="0.35">
      <c r="A11" s="44" t="s">
        <v>520</v>
      </c>
      <c r="B11" t="s">
        <v>592</v>
      </c>
      <c r="D11" s="54">
        <v>1842989</v>
      </c>
      <c r="G11" s="53">
        <v>0.99</v>
      </c>
      <c r="H11" s="53">
        <v>0.871</v>
      </c>
      <c r="J11" s="53">
        <v>0.03</v>
      </c>
      <c r="K11" s="53">
        <v>0.24729999999999999</v>
      </c>
    </row>
    <row r="12" spans="1:14" x14ac:dyDescent="0.35">
      <c r="A12" s="44" t="s">
        <v>520</v>
      </c>
      <c r="B12" t="s">
        <v>593</v>
      </c>
      <c r="C12" s="44" t="s">
        <v>596</v>
      </c>
      <c r="D12" s="50">
        <f>SUM(D10:D11)</f>
        <v>5986780</v>
      </c>
      <c r="E12" s="44">
        <v>6000</v>
      </c>
      <c r="F12" s="44">
        <v>30</v>
      </c>
      <c r="G12" s="44">
        <v>0.85</v>
      </c>
      <c r="H12" s="44">
        <v>0.99199999999999999</v>
      </c>
      <c r="I12" s="47"/>
      <c r="J12" s="44">
        <v>0.05</v>
      </c>
      <c r="K12" s="44">
        <f>SUM(K10:K11)</f>
        <v>0.28720000000000001</v>
      </c>
      <c r="L12" s="47"/>
    </row>
    <row r="13" spans="1:14" x14ac:dyDescent="0.35">
      <c r="A13" s="44" t="s">
        <v>520</v>
      </c>
      <c r="B13" t="s">
        <v>614</v>
      </c>
      <c r="D13" s="26"/>
    </row>
    <row r="14" spans="1:14" x14ac:dyDescent="0.35">
      <c r="A14" s="44" t="s">
        <v>520</v>
      </c>
      <c r="B14" t="s">
        <v>603</v>
      </c>
    </row>
    <row r="15" spans="1:14" x14ac:dyDescent="0.35">
      <c r="A15" s="44" t="s">
        <v>520</v>
      </c>
      <c r="B15" t="s">
        <v>604</v>
      </c>
    </row>
    <row r="16" spans="1:14" x14ac:dyDescent="0.35">
      <c r="A16" s="44" t="s">
        <v>520</v>
      </c>
      <c r="C16" s="44" t="s">
        <v>594</v>
      </c>
      <c r="D16" s="50">
        <v>293456.89305233641</v>
      </c>
      <c r="E16" s="44">
        <v>6000</v>
      </c>
      <c r="F16" s="44">
        <v>30</v>
      </c>
      <c r="G16" s="44">
        <v>1</v>
      </c>
      <c r="H16" s="44">
        <v>1</v>
      </c>
      <c r="I16" s="47"/>
      <c r="J16" s="58">
        <v>0.04</v>
      </c>
      <c r="K16" s="44">
        <v>0</v>
      </c>
      <c r="L16" s="47"/>
    </row>
    <row r="17" spans="1:12" x14ac:dyDescent="0.35">
      <c r="A17" s="44" t="s">
        <v>520</v>
      </c>
      <c r="C17" s="44" t="s">
        <v>595</v>
      </c>
      <c r="D17" s="50">
        <v>6181584.9056603797</v>
      </c>
      <c r="E17" s="44">
        <v>4380</v>
      </c>
      <c r="F17" s="44">
        <v>25</v>
      </c>
      <c r="G17" s="44">
        <v>1</v>
      </c>
      <c r="H17" s="44">
        <v>1</v>
      </c>
      <c r="I17" s="58">
        <v>0</v>
      </c>
      <c r="J17" s="58">
        <v>0.04</v>
      </c>
      <c r="K17" s="47"/>
      <c r="L17" s="58">
        <v>2.2101939866396524E-4</v>
      </c>
    </row>
    <row r="18" spans="1:12" x14ac:dyDescent="0.35">
      <c r="A18" s="44" t="s">
        <v>520</v>
      </c>
      <c r="B18" t="s">
        <v>600</v>
      </c>
      <c r="C18" s="44" t="s">
        <v>559</v>
      </c>
      <c r="D18" s="44">
        <v>1418767</v>
      </c>
      <c r="E18" s="44">
        <v>6000</v>
      </c>
      <c r="F18" s="44">
        <v>30</v>
      </c>
      <c r="G18" s="44">
        <v>0.996</v>
      </c>
      <c r="H18" s="44">
        <v>0.68500000000000005</v>
      </c>
      <c r="I18" s="47"/>
      <c r="J18" s="44">
        <v>4.2999999999999997E-2</v>
      </c>
      <c r="K18" s="44">
        <v>0</v>
      </c>
      <c r="L18" s="47"/>
    </row>
    <row r="19" spans="1:12" x14ac:dyDescent="0.35">
      <c r="A19" s="4" t="s">
        <v>519</v>
      </c>
      <c r="B19" t="s">
        <v>523</v>
      </c>
      <c r="D19">
        <v>3500000</v>
      </c>
      <c r="G19">
        <v>0.75</v>
      </c>
    </row>
    <row r="20" spans="1:12" x14ac:dyDescent="0.35">
      <c r="A20" s="4" t="s">
        <v>519</v>
      </c>
      <c r="B20" t="s">
        <v>601</v>
      </c>
      <c r="D20">
        <v>3800000</v>
      </c>
      <c r="G20">
        <v>0.79</v>
      </c>
    </row>
    <row r="21" spans="1:12" x14ac:dyDescent="0.35">
      <c r="A21" s="4" t="s">
        <v>519</v>
      </c>
      <c r="B21" t="s">
        <v>593</v>
      </c>
      <c r="C21" s="4" t="s">
        <v>596</v>
      </c>
      <c r="D21" s="4">
        <f>SUM(D19:D20)</f>
        <v>7300000</v>
      </c>
      <c r="E21" s="4">
        <v>6000</v>
      </c>
      <c r="F21" s="4">
        <v>30</v>
      </c>
      <c r="G21" s="4">
        <f>G20*G19</f>
        <v>0.59250000000000003</v>
      </c>
      <c r="H21" s="4">
        <v>1</v>
      </c>
      <c r="I21" s="47"/>
      <c r="J21" s="4">
        <v>0.04</v>
      </c>
      <c r="K21" s="4"/>
      <c r="L21" s="47"/>
    </row>
    <row r="22" spans="1:12" x14ac:dyDescent="0.35">
      <c r="A22" s="4" t="s">
        <v>519</v>
      </c>
      <c r="B22" t="s">
        <v>614</v>
      </c>
    </row>
    <row r="23" spans="1:12" x14ac:dyDescent="0.35">
      <c r="A23" s="4" t="s">
        <v>519</v>
      </c>
      <c r="B23" t="s">
        <v>603</v>
      </c>
    </row>
    <row r="24" spans="1:12" x14ac:dyDescent="0.35">
      <c r="A24" s="4" t="s">
        <v>519</v>
      </c>
      <c r="B24" t="s">
        <v>604</v>
      </c>
    </row>
    <row r="25" spans="1:12" x14ac:dyDescent="0.35">
      <c r="A25" s="4" t="s">
        <v>519</v>
      </c>
      <c r="C25" s="4" t="s">
        <v>594</v>
      </c>
      <c r="D25" s="55">
        <f>D16</f>
        <v>293456.89305233641</v>
      </c>
      <c r="E25" s="4">
        <v>6000</v>
      </c>
      <c r="F25" s="4">
        <v>30</v>
      </c>
      <c r="G25" s="4">
        <v>1</v>
      </c>
      <c r="H25" s="4">
        <v>1</v>
      </c>
      <c r="I25" s="47"/>
      <c r="J25" s="59">
        <v>0.04</v>
      </c>
      <c r="K25" s="4">
        <v>0.27100000000000002</v>
      </c>
      <c r="L25" s="47"/>
    </row>
    <row r="26" spans="1:12" x14ac:dyDescent="0.35">
      <c r="A26" s="4" t="s">
        <v>519</v>
      </c>
      <c r="C26" s="4" t="s">
        <v>595</v>
      </c>
      <c r="D26" s="4">
        <v>1756697</v>
      </c>
      <c r="E26" s="4">
        <v>4380</v>
      </c>
      <c r="F26" s="4">
        <v>25</v>
      </c>
      <c r="G26" s="4">
        <v>1</v>
      </c>
      <c r="H26" s="4">
        <v>1</v>
      </c>
      <c r="I26" s="59">
        <v>0</v>
      </c>
      <c r="J26" s="59">
        <v>0.04</v>
      </c>
      <c r="K26" s="47"/>
      <c r="L26" s="59">
        <v>1.8083405345233519E-4</v>
      </c>
    </row>
    <row r="27" spans="1:12" x14ac:dyDescent="0.35">
      <c r="A27" s="4" t="s">
        <v>519</v>
      </c>
      <c r="B27" t="s">
        <v>600</v>
      </c>
      <c r="C27" s="4" t="s">
        <v>559</v>
      </c>
      <c r="D27" s="4">
        <v>22653</v>
      </c>
      <c r="E27" s="4">
        <v>6000</v>
      </c>
      <c r="F27" s="4">
        <v>30</v>
      </c>
      <c r="G27" s="4">
        <v>0.99</v>
      </c>
      <c r="H27" s="4">
        <v>0.83299999999999996</v>
      </c>
      <c r="I27" s="47"/>
      <c r="J27" s="4">
        <v>0.04</v>
      </c>
      <c r="K27" s="4">
        <v>0</v>
      </c>
      <c r="L27" s="47"/>
    </row>
  </sheetData>
  <pageMargins left="0.7" right="0.7" top="0.78740157499999996" bottom="0.78740157499999996" header="0.3" footer="0.3"/>
  <ignoredErrors>
    <ignoredError sqref="D12 D21 K12" formulaRange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58F1-6ED1-4A61-ADF7-A8E732676C25}">
  <dimension ref="A1:AI145"/>
  <sheetViews>
    <sheetView zoomScale="70" zoomScaleNormal="70" workbookViewId="0">
      <selection activeCell="L82" sqref="L82"/>
    </sheetView>
  </sheetViews>
  <sheetFormatPr baseColWidth="10" defaultRowHeight="14.5" x14ac:dyDescent="0.35"/>
  <cols>
    <col min="1" max="1" width="19.453125" bestFit="1" customWidth="1"/>
    <col min="2" max="2" width="10.453125" bestFit="1" customWidth="1"/>
    <col min="3" max="3" width="24.81640625" bestFit="1" customWidth="1"/>
    <col min="4" max="4" width="11.1796875" bestFit="1" customWidth="1"/>
    <col min="5" max="5" width="8.7265625" bestFit="1" customWidth="1"/>
    <col min="6" max="6" width="9.08984375" bestFit="1" customWidth="1"/>
    <col min="7" max="7" width="10.1796875" bestFit="1" customWidth="1"/>
    <col min="8" max="13" width="19.6328125" customWidth="1"/>
    <col min="14" max="14" width="19.6328125" style="28" customWidth="1"/>
    <col min="15" max="31" width="19.6328125" customWidth="1"/>
    <col min="32" max="35" width="12.36328125" bestFit="1" customWidth="1"/>
  </cols>
  <sheetData>
    <row r="1" spans="1:32" x14ac:dyDescent="0.35">
      <c r="A1" t="s">
        <v>351</v>
      </c>
      <c r="B1" t="s">
        <v>126</v>
      </c>
      <c r="C1" t="s">
        <v>288</v>
      </c>
      <c r="D1" t="s">
        <v>352</v>
      </c>
      <c r="E1" t="s">
        <v>319</v>
      </c>
      <c r="F1" t="s">
        <v>318</v>
      </c>
      <c r="G1" t="s">
        <v>289</v>
      </c>
      <c r="H1" s="15" t="s">
        <v>402</v>
      </c>
      <c r="I1" s="15" t="s">
        <v>343</v>
      </c>
      <c r="J1" s="15" t="s">
        <v>403</v>
      </c>
      <c r="K1" s="15" t="s">
        <v>418</v>
      </c>
      <c r="L1" s="15" t="s">
        <v>419</v>
      </c>
      <c r="M1" s="15" t="s">
        <v>404</v>
      </c>
      <c r="N1" s="15" t="s">
        <v>405</v>
      </c>
      <c r="O1" s="21" t="s">
        <v>406</v>
      </c>
      <c r="P1" s="21" t="s">
        <v>407</v>
      </c>
      <c r="Q1" s="21" t="s">
        <v>408</v>
      </c>
      <c r="R1" s="21" t="s">
        <v>409</v>
      </c>
      <c r="S1" s="21" t="s">
        <v>410</v>
      </c>
      <c r="T1" s="27" t="s">
        <v>411</v>
      </c>
      <c r="U1" s="27" t="s">
        <v>569</v>
      </c>
      <c r="V1" s="27" t="s">
        <v>412</v>
      </c>
      <c r="W1" s="27" t="s">
        <v>423</v>
      </c>
      <c r="X1" s="27" t="s">
        <v>424</v>
      </c>
      <c r="Y1" s="27" t="s">
        <v>413</v>
      </c>
      <c r="Z1" s="27" t="s">
        <v>426</v>
      </c>
      <c r="AA1" s="15" t="s">
        <v>414</v>
      </c>
      <c r="AB1" s="15" t="s">
        <v>415</v>
      </c>
      <c r="AC1" s="15" t="s">
        <v>420</v>
      </c>
      <c r="AD1" s="15" t="s">
        <v>421</v>
      </c>
      <c r="AE1" s="15" t="s">
        <v>416</v>
      </c>
      <c r="AF1" s="15" t="s">
        <v>417</v>
      </c>
    </row>
    <row r="2" spans="1:32" x14ac:dyDescent="0.35">
      <c r="A2" t="s">
        <v>353</v>
      </c>
      <c r="B2" t="s">
        <v>354</v>
      </c>
      <c r="C2" t="str">
        <f t="shared" ref="C2:C49" si="0">_xlfn.CONCAT(B2,"_",A2)</f>
        <v>h2liq_terminal_EU-NLD</v>
      </c>
      <c r="D2" t="s">
        <v>158</v>
      </c>
      <c r="E2" s="22">
        <v>51.948455000000003</v>
      </c>
      <c r="F2" s="22">
        <v>4.1402960000000002</v>
      </c>
      <c r="G2" s="23" t="s">
        <v>129</v>
      </c>
      <c r="H2">
        <f>shipping_compact!D$3</f>
        <v>938550</v>
      </c>
      <c r="I2">
        <f>shipping_compact!E$3</f>
        <v>6000</v>
      </c>
      <c r="J2">
        <f>shipping_compact!F$3</f>
        <v>30</v>
      </c>
      <c r="K2">
        <f>shipping_compact!G$3</f>
        <v>0.98</v>
      </c>
      <c r="L2" s="24">
        <f>shipping_compact!H$3</f>
        <v>0.74497449744974498</v>
      </c>
      <c r="M2" s="1">
        <f>shipping_compact!J$3</f>
        <v>3.2500000000000001E-2</v>
      </c>
      <c r="N2" s="28">
        <f>shipping_compact!K$3</f>
        <v>0</v>
      </c>
      <c r="O2" s="26">
        <f>shipping_compact!D$7</f>
        <v>14340588.988476301</v>
      </c>
      <c r="P2" s="26">
        <f>shipping_compact!F$7</f>
        <v>30</v>
      </c>
      <c r="Q2" s="26">
        <f>shipping_compact!G$7</f>
        <v>1</v>
      </c>
      <c r="R2" s="24">
        <f>shipping_compact!J$7</f>
        <v>0.04</v>
      </c>
      <c r="S2" s="24">
        <f>shipping_compact!L$7</f>
        <v>0</v>
      </c>
      <c r="T2">
        <f>shipping_compact!D$8</f>
        <v>144364800</v>
      </c>
      <c r="U2">
        <f>shipping_compact!E$8</f>
        <v>4380</v>
      </c>
      <c r="V2">
        <f>shipping_compact!F$8</f>
        <v>25</v>
      </c>
      <c r="W2">
        <f>shipping_compact!G$8</f>
        <v>0.98699999999999999</v>
      </c>
      <c r="X2" s="25">
        <f>shipping_compact!I$8</f>
        <v>2.7777777777777779E-6</v>
      </c>
      <c r="Y2">
        <f>shipping_compact!J$8</f>
        <v>0.04</v>
      </c>
      <c r="Z2">
        <f>shipping_compact!L$8</f>
        <v>3.459434066044673E-4</v>
      </c>
      <c r="AA2" s="26">
        <f>shipping_compact!D$9</f>
        <v>226010</v>
      </c>
      <c r="AB2" s="26">
        <f>shipping_compact!F$9</f>
        <v>30</v>
      </c>
      <c r="AC2" s="24">
        <f>shipping_compact!G$9</f>
        <v>0.98</v>
      </c>
      <c r="AD2" s="24">
        <f>shipping_compact!H$9</f>
        <v>0.98</v>
      </c>
      <c r="AE2" s="24">
        <f>shipping_compact!J$9</f>
        <v>0.03</v>
      </c>
      <c r="AF2" s="22">
        <f>shipping_compact!K$9</f>
        <v>6.0006000600060011E-3</v>
      </c>
    </row>
    <row r="3" spans="1:32" x14ac:dyDescent="0.35">
      <c r="A3" t="s">
        <v>355</v>
      </c>
      <c r="B3" t="s">
        <v>354</v>
      </c>
      <c r="C3" t="str">
        <f t="shared" si="0"/>
        <v>h2liq_terminal_EU-PRT</v>
      </c>
      <c r="D3" t="s">
        <v>161</v>
      </c>
      <c r="E3" s="22">
        <v>37.961097819999999</v>
      </c>
      <c r="F3" s="22">
        <v>-8.8786876929999998</v>
      </c>
      <c r="G3" s="23" t="s">
        <v>129</v>
      </c>
      <c r="H3">
        <f>shipping_compact!$D$3</f>
        <v>938550</v>
      </c>
      <c r="I3">
        <f>shipping_compact!E$3</f>
        <v>6000</v>
      </c>
      <c r="J3">
        <f>shipping_compact!F$3</f>
        <v>30</v>
      </c>
      <c r="K3">
        <f>shipping_compact!G$3</f>
        <v>0.98</v>
      </c>
      <c r="L3" s="24">
        <f>shipping_compact!H$3</f>
        <v>0.74497449744974498</v>
      </c>
      <c r="M3" s="1">
        <f>shipping_compact!J$3</f>
        <v>3.2500000000000001E-2</v>
      </c>
      <c r="N3" s="28">
        <f>shipping_compact!K$3</f>
        <v>0</v>
      </c>
      <c r="O3" s="26">
        <f>shipping_compact!D$7</f>
        <v>14340588.988476301</v>
      </c>
      <c r="P3" s="26">
        <f>shipping_compact!F$7</f>
        <v>30</v>
      </c>
      <c r="Q3" s="26">
        <f>shipping_compact!G$7</f>
        <v>1</v>
      </c>
      <c r="R3" s="24">
        <f>shipping_compact!J$7</f>
        <v>0.04</v>
      </c>
      <c r="S3" s="24">
        <f>shipping_compact!L$7</f>
        <v>0</v>
      </c>
      <c r="T3">
        <f>shipping_compact!D$8</f>
        <v>144364800</v>
      </c>
      <c r="U3">
        <f>shipping_compact!E$8</f>
        <v>4380</v>
      </c>
      <c r="V3">
        <f>shipping_compact!F$8</f>
        <v>25</v>
      </c>
      <c r="W3">
        <f>shipping_compact!G$8</f>
        <v>0.98699999999999999</v>
      </c>
      <c r="X3" s="25">
        <f>shipping_compact!I$8</f>
        <v>2.7777777777777779E-6</v>
      </c>
      <c r="Y3">
        <f>shipping_compact!J$8</f>
        <v>0.04</v>
      </c>
      <c r="Z3">
        <f>shipping_compact!L$8</f>
        <v>3.459434066044673E-4</v>
      </c>
      <c r="AA3" s="26">
        <f>shipping_compact!D$9</f>
        <v>226010</v>
      </c>
      <c r="AB3" s="26">
        <f>shipping_compact!F$9</f>
        <v>30</v>
      </c>
      <c r="AC3" s="24">
        <f>shipping_compact!G$9</f>
        <v>0.98</v>
      </c>
      <c r="AD3" s="24">
        <f>shipping_compact!H$9</f>
        <v>0.98</v>
      </c>
      <c r="AE3" s="24">
        <f>shipping_compact!J$9</f>
        <v>0.03</v>
      </c>
      <c r="AF3" s="22">
        <f>shipping_compact!K$9</f>
        <v>6.0006000600060011E-3</v>
      </c>
    </row>
    <row r="4" spans="1:32" x14ac:dyDescent="0.35">
      <c r="A4" t="s">
        <v>356</v>
      </c>
      <c r="B4" t="s">
        <v>354</v>
      </c>
      <c r="C4" t="str">
        <f t="shared" si="0"/>
        <v>h2liq_terminal_EU-ESP</v>
      </c>
      <c r="D4" t="s">
        <v>140</v>
      </c>
      <c r="E4" s="22">
        <v>39.463713490000004</v>
      </c>
      <c r="F4" s="22">
        <v>-0.358819791</v>
      </c>
      <c r="G4" s="23" t="s">
        <v>129</v>
      </c>
      <c r="H4">
        <f>shipping_compact!$D$3</f>
        <v>938550</v>
      </c>
      <c r="I4">
        <f>shipping_compact!E$3</f>
        <v>6000</v>
      </c>
      <c r="J4">
        <f>shipping_compact!F$3</f>
        <v>30</v>
      </c>
      <c r="K4">
        <f>shipping_compact!G$3</f>
        <v>0.98</v>
      </c>
      <c r="L4" s="24">
        <f>shipping_compact!H$3</f>
        <v>0.74497449744974498</v>
      </c>
      <c r="M4" s="1">
        <f>shipping_compact!J$3</f>
        <v>3.2500000000000001E-2</v>
      </c>
      <c r="N4" s="28">
        <f>shipping_compact!K$3</f>
        <v>0</v>
      </c>
      <c r="O4" s="26">
        <f>shipping_compact!D$7</f>
        <v>14340588.988476301</v>
      </c>
      <c r="P4" s="26">
        <f>shipping_compact!F$7</f>
        <v>30</v>
      </c>
      <c r="Q4" s="26">
        <f>shipping_compact!G$7</f>
        <v>1</v>
      </c>
      <c r="R4" s="24">
        <f>shipping_compact!J$7</f>
        <v>0.04</v>
      </c>
      <c r="S4" s="24">
        <f>shipping_compact!L$7</f>
        <v>0</v>
      </c>
      <c r="T4">
        <f>shipping_compact!D$8</f>
        <v>144364800</v>
      </c>
      <c r="U4">
        <f>shipping_compact!E$8</f>
        <v>4380</v>
      </c>
      <c r="V4">
        <f>shipping_compact!F$8</f>
        <v>25</v>
      </c>
      <c r="W4">
        <f>shipping_compact!G$8</f>
        <v>0.98699999999999999</v>
      </c>
      <c r="X4" s="25">
        <f>shipping_compact!I$8</f>
        <v>2.7777777777777779E-6</v>
      </c>
      <c r="Y4">
        <f>shipping_compact!J$8</f>
        <v>0.04</v>
      </c>
      <c r="Z4">
        <f>shipping_compact!L$8</f>
        <v>3.459434066044673E-4</v>
      </c>
      <c r="AA4" s="26">
        <f>shipping_compact!D$9</f>
        <v>226010</v>
      </c>
      <c r="AB4" s="26">
        <f>shipping_compact!F$9</f>
        <v>30</v>
      </c>
      <c r="AC4" s="24">
        <f>shipping_compact!G$9</f>
        <v>0.98</v>
      </c>
      <c r="AD4" s="24">
        <f>shipping_compact!H$9</f>
        <v>0.98</v>
      </c>
      <c r="AE4" s="24">
        <f>shipping_compact!J$9</f>
        <v>0.03</v>
      </c>
      <c r="AF4" s="22">
        <f>shipping_compact!K$9</f>
        <v>6.0006000600060011E-3</v>
      </c>
    </row>
    <row r="5" spans="1:32" x14ac:dyDescent="0.35">
      <c r="A5" t="s">
        <v>357</v>
      </c>
      <c r="B5" t="s">
        <v>354</v>
      </c>
      <c r="C5" t="str">
        <f t="shared" si="0"/>
        <v>h2liq_terminal_EU-ISL</v>
      </c>
      <c r="D5" t="s">
        <v>150</v>
      </c>
      <c r="E5" s="22">
        <v>64.094857875262505</v>
      </c>
      <c r="F5" s="22">
        <v>-21.853528070301</v>
      </c>
      <c r="G5" s="23" t="s">
        <v>129</v>
      </c>
      <c r="H5">
        <f>shipping_compact!$D$3</f>
        <v>938550</v>
      </c>
      <c r="I5">
        <f>shipping_compact!E$3</f>
        <v>6000</v>
      </c>
      <c r="J5">
        <f>shipping_compact!F$3</f>
        <v>30</v>
      </c>
      <c r="K5">
        <f>shipping_compact!G$3</f>
        <v>0.98</v>
      </c>
      <c r="L5" s="24">
        <f>shipping_compact!H$3</f>
        <v>0.74497449744974498</v>
      </c>
      <c r="M5" s="1">
        <f>shipping_compact!J$3</f>
        <v>3.2500000000000001E-2</v>
      </c>
      <c r="N5" s="28">
        <f>shipping_compact!K$3</f>
        <v>0</v>
      </c>
      <c r="O5" s="26">
        <f>shipping_compact!D$7</f>
        <v>14340588.988476301</v>
      </c>
      <c r="P5" s="26">
        <f>shipping_compact!F$7</f>
        <v>30</v>
      </c>
      <c r="Q5" s="26">
        <f>shipping_compact!G$7</f>
        <v>1</v>
      </c>
      <c r="R5" s="24">
        <f>shipping_compact!J$7</f>
        <v>0.04</v>
      </c>
      <c r="S5" s="24">
        <f>shipping_compact!L$7</f>
        <v>0</v>
      </c>
      <c r="T5">
        <f>shipping_compact!D$8</f>
        <v>144364800</v>
      </c>
      <c r="U5">
        <f>shipping_compact!E$8</f>
        <v>4380</v>
      </c>
      <c r="V5">
        <f>shipping_compact!F$8</f>
        <v>25</v>
      </c>
      <c r="W5">
        <f>shipping_compact!G$8</f>
        <v>0.98699999999999999</v>
      </c>
      <c r="X5" s="25">
        <f>shipping_compact!I$8</f>
        <v>2.7777777777777779E-6</v>
      </c>
      <c r="Y5">
        <f>shipping_compact!J$8</f>
        <v>0.04</v>
      </c>
      <c r="Z5">
        <f>shipping_compact!L$8</f>
        <v>3.459434066044673E-4</v>
      </c>
      <c r="AA5" s="26">
        <f>shipping_compact!D$9</f>
        <v>226010</v>
      </c>
      <c r="AB5" s="26">
        <f>shipping_compact!F$9</f>
        <v>30</v>
      </c>
      <c r="AC5" s="24">
        <f>shipping_compact!G$9</f>
        <v>0.98</v>
      </c>
      <c r="AD5" s="24">
        <f>shipping_compact!H$9</f>
        <v>0.98</v>
      </c>
      <c r="AE5" s="24">
        <f>shipping_compact!J$9</f>
        <v>0.03</v>
      </c>
      <c r="AF5" s="22">
        <f>shipping_compact!K$9</f>
        <v>6.0006000600060011E-3</v>
      </c>
    </row>
    <row r="6" spans="1:32" x14ac:dyDescent="0.35">
      <c r="A6" t="s">
        <v>358</v>
      </c>
      <c r="B6" t="s">
        <v>354</v>
      </c>
      <c r="C6" t="str">
        <f t="shared" si="0"/>
        <v>h2liq_terminal_EU-ITA4</v>
      </c>
      <c r="D6" t="s">
        <v>301</v>
      </c>
      <c r="E6" s="22">
        <v>45.205817279999998</v>
      </c>
      <c r="F6" s="22">
        <v>12.29365557</v>
      </c>
      <c r="G6" s="23" t="s">
        <v>129</v>
      </c>
      <c r="H6">
        <f>shipping_compact!$D$3</f>
        <v>938550</v>
      </c>
      <c r="I6">
        <f>shipping_compact!E$3</f>
        <v>6000</v>
      </c>
      <c r="J6">
        <f>shipping_compact!F$3</f>
        <v>30</v>
      </c>
      <c r="K6">
        <f>shipping_compact!G$3</f>
        <v>0.98</v>
      </c>
      <c r="L6" s="24">
        <f>shipping_compact!H$3</f>
        <v>0.74497449744974498</v>
      </c>
      <c r="M6" s="1">
        <f>shipping_compact!J$3</f>
        <v>3.2500000000000001E-2</v>
      </c>
      <c r="N6" s="28">
        <f>shipping_compact!K$3</f>
        <v>0</v>
      </c>
      <c r="O6" s="26">
        <f>shipping_compact!D$7</f>
        <v>14340588.988476301</v>
      </c>
      <c r="P6" s="26">
        <f>shipping_compact!F$7</f>
        <v>30</v>
      </c>
      <c r="Q6" s="26">
        <f>shipping_compact!G$7</f>
        <v>1</v>
      </c>
      <c r="R6" s="24">
        <f>shipping_compact!J$7</f>
        <v>0.04</v>
      </c>
      <c r="S6" s="24">
        <f>shipping_compact!L$7</f>
        <v>0</v>
      </c>
      <c r="T6">
        <f>shipping_compact!D$8</f>
        <v>144364800</v>
      </c>
      <c r="U6">
        <f>shipping_compact!E$8</f>
        <v>4380</v>
      </c>
      <c r="V6">
        <f>shipping_compact!F$8</f>
        <v>25</v>
      </c>
      <c r="W6">
        <f>shipping_compact!G$8</f>
        <v>0.98699999999999999</v>
      </c>
      <c r="X6" s="25">
        <f>shipping_compact!I$8</f>
        <v>2.7777777777777779E-6</v>
      </c>
      <c r="Y6">
        <f>shipping_compact!J$8</f>
        <v>0.04</v>
      </c>
      <c r="Z6">
        <f>shipping_compact!L$8</f>
        <v>3.459434066044673E-4</v>
      </c>
      <c r="AA6" s="26">
        <f>shipping_compact!D$9</f>
        <v>226010</v>
      </c>
      <c r="AB6" s="26">
        <f>shipping_compact!F$9</f>
        <v>30</v>
      </c>
      <c r="AC6" s="24">
        <f>shipping_compact!G$9</f>
        <v>0.98</v>
      </c>
      <c r="AD6" s="24">
        <f>shipping_compact!H$9</f>
        <v>0.98</v>
      </c>
      <c r="AE6" s="24">
        <f>shipping_compact!J$9</f>
        <v>0.03</v>
      </c>
      <c r="AF6" s="22">
        <f>shipping_compact!K$9</f>
        <v>6.0006000600060011E-3</v>
      </c>
    </row>
    <row r="7" spans="1:32" x14ac:dyDescent="0.35">
      <c r="A7" t="s">
        <v>359</v>
      </c>
      <c r="B7" t="s">
        <v>354</v>
      </c>
      <c r="C7" t="str">
        <f t="shared" si="0"/>
        <v>h2liq_terminal_EU-ITA</v>
      </c>
      <c r="D7" t="s">
        <v>151</v>
      </c>
      <c r="E7" s="22">
        <v>45.205817279999998</v>
      </c>
      <c r="F7" s="22">
        <v>12.29365557</v>
      </c>
      <c r="G7" s="23" t="s">
        <v>129</v>
      </c>
      <c r="H7">
        <f>shipping_compact!$D$3</f>
        <v>938550</v>
      </c>
      <c r="I7">
        <f>shipping_compact!E$3</f>
        <v>6000</v>
      </c>
      <c r="J7">
        <f>shipping_compact!F$3</f>
        <v>30</v>
      </c>
      <c r="K7">
        <f>shipping_compact!G$3</f>
        <v>0.98</v>
      </c>
      <c r="L7" s="24">
        <f>shipping_compact!H$3</f>
        <v>0.74497449744974498</v>
      </c>
      <c r="M7" s="1">
        <f>shipping_compact!J$3</f>
        <v>3.2500000000000001E-2</v>
      </c>
      <c r="N7" s="28">
        <f>shipping_compact!K$3</f>
        <v>0</v>
      </c>
      <c r="O7" s="26">
        <f>shipping_compact!D$7</f>
        <v>14340588.988476301</v>
      </c>
      <c r="P7" s="26">
        <f>shipping_compact!F$7</f>
        <v>30</v>
      </c>
      <c r="Q7" s="26">
        <f>shipping_compact!G$7</f>
        <v>1</v>
      </c>
      <c r="R7" s="24">
        <f>shipping_compact!J$7</f>
        <v>0.04</v>
      </c>
      <c r="S7" s="24">
        <f>shipping_compact!L$7</f>
        <v>0</v>
      </c>
      <c r="T7">
        <f>shipping_compact!D$8</f>
        <v>144364800</v>
      </c>
      <c r="U7">
        <f>shipping_compact!E$8</f>
        <v>4380</v>
      </c>
      <c r="V7">
        <f>shipping_compact!F$8</f>
        <v>25</v>
      </c>
      <c r="W7">
        <f>shipping_compact!G$8</f>
        <v>0.98699999999999999</v>
      </c>
      <c r="X7" s="25">
        <f>shipping_compact!I$8</f>
        <v>2.7777777777777779E-6</v>
      </c>
      <c r="Y7">
        <f>shipping_compact!J$8</f>
        <v>0.04</v>
      </c>
      <c r="Z7">
        <f>shipping_compact!L$8</f>
        <v>3.459434066044673E-4</v>
      </c>
      <c r="AA7" s="26">
        <f>shipping_compact!D$9</f>
        <v>226010</v>
      </c>
      <c r="AB7" s="26">
        <f>shipping_compact!F$9</f>
        <v>30</v>
      </c>
      <c r="AC7" s="24">
        <f>shipping_compact!G$9</f>
        <v>0.98</v>
      </c>
      <c r="AD7" s="24">
        <f>shipping_compact!H$9</f>
        <v>0.98</v>
      </c>
      <c r="AE7" s="24">
        <f>shipping_compact!J$9</f>
        <v>0.03</v>
      </c>
      <c r="AF7" s="22">
        <f>shipping_compact!K$9</f>
        <v>6.0006000600060011E-3</v>
      </c>
    </row>
    <row r="8" spans="1:32" x14ac:dyDescent="0.35">
      <c r="A8" t="s">
        <v>360</v>
      </c>
      <c r="B8" t="s">
        <v>354</v>
      </c>
      <c r="C8" t="str">
        <f t="shared" si="0"/>
        <v>h2liq_terminal_AS-TUR</v>
      </c>
      <c r="D8" t="s">
        <v>235</v>
      </c>
      <c r="E8" s="22">
        <v>36.825940789999997</v>
      </c>
      <c r="F8" s="22">
        <v>36.177898030000001</v>
      </c>
      <c r="G8" s="23" t="s">
        <v>129</v>
      </c>
      <c r="H8">
        <f>shipping_compact!$D$3</f>
        <v>938550</v>
      </c>
      <c r="I8">
        <f>shipping_compact!E$3</f>
        <v>6000</v>
      </c>
      <c r="J8">
        <f>shipping_compact!F$3</f>
        <v>30</v>
      </c>
      <c r="K8">
        <f>shipping_compact!G$3</f>
        <v>0.98</v>
      </c>
      <c r="L8" s="24">
        <f>shipping_compact!H$3</f>
        <v>0.74497449744974498</v>
      </c>
      <c r="M8" s="1">
        <f>shipping_compact!J$3</f>
        <v>3.2500000000000001E-2</v>
      </c>
      <c r="N8" s="28">
        <f>shipping_compact!K$3</f>
        <v>0</v>
      </c>
      <c r="O8" s="26">
        <f>shipping_compact!D$7</f>
        <v>14340588.988476301</v>
      </c>
      <c r="P8" s="26">
        <f>shipping_compact!F$7</f>
        <v>30</v>
      </c>
      <c r="Q8" s="26">
        <f>shipping_compact!G$7</f>
        <v>1</v>
      </c>
      <c r="R8" s="24">
        <f>shipping_compact!J$7</f>
        <v>0.04</v>
      </c>
      <c r="S8" s="24">
        <f>shipping_compact!L$7</f>
        <v>0</v>
      </c>
      <c r="T8">
        <f>shipping_compact!D$8</f>
        <v>144364800</v>
      </c>
      <c r="U8">
        <f>shipping_compact!E$8</f>
        <v>4380</v>
      </c>
      <c r="V8">
        <f>shipping_compact!F$8</f>
        <v>25</v>
      </c>
      <c r="W8">
        <f>shipping_compact!G$8</f>
        <v>0.98699999999999999</v>
      </c>
      <c r="X8" s="25">
        <f>shipping_compact!I$8</f>
        <v>2.7777777777777779E-6</v>
      </c>
      <c r="Y8">
        <f>shipping_compact!J$8</f>
        <v>0.04</v>
      </c>
      <c r="Z8">
        <f>shipping_compact!L$8</f>
        <v>3.459434066044673E-4</v>
      </c>
      <c r="AA8" s="26">
        <f>shipping_compact!D$9</f>
        <v>226010</v>
      </c>
      <c r="AB8" s="26">
        <f>shipping_compact!F$9</f>
        <v>30</v>
      </c>
      <c r="AC8" s="24">
        <f>shipping_compact!G$9</f>
        <v>0.98</v>
      </c>
      <c r="AD8" s="24">
        <f>shipping_compact!H$9</f>
        <v>0.98</v>
      </c>
      <c r="AE8" s="24">
        <f>shipping_compact!J$9</f>
        <v>0.03</v>
      </c>
      <c r="AF8" s="22">
        <f>shipping_compact!K$9</f>
        <v>6.0006000600060011E-3</v>
      </c>
    </row>
    <row r="9" spans="1:32" x14ac:dyDescent="0.35">
      <c r="A9" t="s">
        <v>361</v>
      </c>
      <c r="B9" t="s">
        <v>354</v>
      </c>
      <c r="C9" t="str">
        <f t="shared" si="0"/>
        <v>h2liq_terminal_EU-SWE3</v>
      </c>
      <c r="D9" t="s">
        <v>313</v>
      </c>
      <c r="E9" s="22">
        <v>58.913024630000002</v>
      </c>
      <c r="F9" s="22">
        <v>17.96051026</v>
      </c>
      <c r="G9" s="23" t="s">
        <v>129</v>
      </c>
      <c r="H9">
        <f>shipping_compact!$D$3</f>
        <v>938550</v>
      </c>
      <c r="I9">
        <f>shipping_compact!E$3</f>
        <v>6000</v>
      </c>
      <c r="J9">
        <f>shipping_compact!F$3</f>
        <v>30</v>
      </c>
      <c r="K9">
        <f>shipping_compact!G$3</f>
        <v>0.98</v>
      </c>
      <c r="L9" s="24">
        <f>shipping_compact!H$3</f>
        <v>0.74497449744974498</v>
      </c>
      <c r="M9" s="1">
        <f>shipping_compact!J$3</f>
        <v>3.2500000000000001E-2</v>
      </c>
      <c r="N9" s="28">
        <f>shipping_compact!K$3</f>
        <v>0</v>
      </c>
      <c r="O9" s="26">
        <f>shipping_compact!D$7</f>
        <v>14340588.988476301</v>
      </c>
      <c r="P9" s="26">
        <f>shipping_compact!F$7</f>
        <v>30</v>
      </c>
      <c r="Q9" s="26">
        <f>shipping_compact!G$7</f>
        <v>1</v>
      </c>
      <c r="R9" s="24">
        <f>shipping_compact!J$7</f>
        <v>0.04</v>
      </c>
      <c r="S9" s="24">
        <f>shipping_compact!L$7</f>
        <v>0</v>
      </c>
      <c r="T9">
        <f>shipping_compact!D$8</f>
        <v>144364800</v>
      </c>
      <c r="U9">
        <f>shipping_compact!E$8</f>
        <v>4380</v>
      </c>
      <c r="V9">
        <f>shipping_compact!F$8</f>
        <v>25</v>
      </c>
      <c r="W9">
        <f>shipping_compact!G$8</f>
        <v>0.98699999999999999</v>
      </c>
      <c r="X9" s="25">
        <f>shipping_compact!I$8</f>
        <v>2.7777777777777779E-6</v>
      </c>
      <c r="Y9">
        <f>shipping_compact!J$8</f>
        <v>0.04</v>
      </c>
      <c r="Z9">
        <f>shipping_compact!L$8</f>
        <v>3.459434066044673E-4</v>
      </c>
      <c r="AA9" s="26">
        <f>shipping_compact!D$9</f>
        <v>226010</v>
      </c>
      <c r="AB9" s="26">
        <f>shipping_compact!F$9</f>
        <v>30</v>
      </c>
      <c r="AC9" s="24">
        <f>shipping_compact!G$9</f>
        <v>0.98</v>
      </c>
      <c r="AD9" s="24">
        <f>shipping_compact!H$9</f>
        <v>0.98</v>
      </c>
      <c r="AE9" s="24">
        <f>shipping_compact!J$9</f>
        <v>0.03</v>
      </c>
      <c r="AF9" s="22">
        <f>shipping_compact!K$9</f>
        <v>6.0006000600060011E-3</v>
      </c>
    </row>
    <row r="10" spans="1:32" x14ac:dyDescent="0.35">
      <c r="A10" t="s">
        <v>362</v>
      </c>
      <c r="B10" t="s">
        <v>354</v>
      </c>
      <c r="C10" t="str">
        <f t="shared" si="0"/>
        <v>h2liq_terminal_EU-SWE</v>
      </c>
      <c r="D10" t="s">
        <v>166</v>
      </c>
      <c r="E10" s="22">
        <v>58.913024630000002</v>
      </c>
      <c r="F10" s="22">
        <v>17.96051026</v>
      </c>
      <c r="G10" s="23" t="s">
        <v>129</v>
      </c>
      <c r="H10">
        <f>shipping_compact!$D$3</f>
        <v>938550</v>
      </c>
      <c r="I10">
        <f>shipping_compact!E$3</f>
        <v>6000</v>
      </c>
      <c r="J10">
        <f>shipping_compact!F$3</f>
        <v>30</v>
      </c>
      <c r="K10">
        <f>shipping_compact!G$3</f>
        <v>0.98</v>
      </c>
      <c r="L10" s="24">
        <f>shipping_compact!H$3</f>
        <v>0.74497449744974498</v>
      </c>
      <c r="M10" s="1">
        <f>shipping_compact!J$3</f>
        <v>3.2500000000000001E-2</v>
      </c>
      <c r="N10" s="28">
        <f>shipping_compact!K$3</f>
        <v>0</v>
      </c>
      <c r="O10" s="26">
        <f>shipping_compact!D$7</f>
        <v>14340588.988476301</v>
      </c>
      <c r="P10" s="26">
        <f>shipping_compact!F$7</f>
        <v>30</v>
      </c>
      <c r="Q10" s="26">
        <f>shipping_compact!G$7</f>
        <v>1</v>
      </c>
      <c r="R10" s="24">
        <f>shipping_compact!J$7</f>
        <v>0.04</v>
      </c>
      <c r="S10" s="24">
        <f>shipping_compact!L$7</f>
        <v>0</v>
      </c>
      <c r="T10">
        <f>shipping_compact!D$8</f>
        <v>144364800</v>
      </c>
      <c r="U10">
        <f>shipping_compact!E$8</f>
        <v>4380</v>
      </c>
      <c r="V10">
        <f>shipping_compact!F$8</f>
        <v>25</v>
      </c>
      <c r="W10">
        <f>shipping_compact!G$8</f>
        <v>0.98699999999999999</v>
      </c>
      <c r="X10" s="25">
        <f>shipping_compact!I$8</f>
        <v>2.7777777777777779E-6</v>
      </c>
      <c r="Y10">
        <f>shipping_compact!J$8</f>
        <v>0.04</v>
      </c>
      <c r="Z10">
        <f>shipping_compact!L$8</f>
        <v>3.459434066044673E-4</v>
      </c>
      <c r="AA10" s="26">
        <f>shipping_compact!D$9</f>
        <v>226010</v>
      </c>
      <c r="AB10" s="26">
        <f>shipping_compact!F$9</f>
        <v>30</v>
      </c>
      <c r="AC10" s="24">
        <f>shipping_compact!G$9</f>
        <v>0.98</v>
      </c>
      <c r="AD10" s="24">
        <f>shipping_compact!H$9</f>
        <v>0.98</v>
      </c>
      <c r="AE10" s="24">
        <f>shipping_compact!J$9</f>
        <v>0.03</v>
      </c>
      <c r="AF10" s="22">
        <f>shipping_compact!K$9</f>
        <v>6.0006000600060011E-3</v>
      </c>
    </row>
    <row r="11" spans="1:32" x14ac:dyDescent="0.35">
      <c r="A11" t="s">
        <v>363</v>
      </c>
      <c r="B11" t="s">
        <v>354</v>
      </c>
      <c r="C11" t="str">
        <f t="shared" si="0"/>
        <v>h2liq_terminal_EU-GBR</v>
      </c>
      <c r="D11" t="s">
        <v>144</v>
      </c>
      <c r="E11" s="22">
        <v>51.708290169999998</v>
      </c>
      <c r="F11" s="22">
        <v>-5.0646297740000001</v>
      </c>
      <c r="G11" s="23" t="s">
        <v>129</v>
      </c>
      <c r="H11">
        <f>shipping_compact!$D$3</f>
        <v>938550</v>
      </c>
      <c r="I11">
        <f>shipping_compact!E$3</f>
        <v>6000</v>
      </c>
      <c r="J11">
        <f>shipping_compact!F$3</f>
        <v>30</v>
      </c>
      <c r="K11">
        <f>shipping_compact!G$3</f>
        <v>0.98</v>
      </c>
      <c r="L11" s="24">
        <f>shipping_compact!H$3</f>
        <v>0.74497449744974498</v>
      </c>
      <c r="M11" s="1">
        <f>shipping_compact!J$3</f>
        <v>3.2500000000000001E-2</v>
      </c>
      <c r="N11" s="28">
        <f>shipping_compact!K$3</f>
        <v>0</v>
      </c>
      <c r="O11" s="26">
        <f>shipping_compact!D$7</f>
        <v>14340588.988476301</v>
      </c>
      <c r="P11" s="26">
        <f>shipping_compact!F$7</f>
        <v>30</v>
      </c>
      <c r="Q11" s="26">
        <f>shipping_compact!G$7</f>
        <v>1</v>
      </c>
      <c r="R11" s="24">
        <f>shipping_compact!J$7</f>
        <v>0.04</v>
      </c>
      <c r="S11" s="24">
        <f>shipping_compact!L$7</f>
        <v>0</v>
      </c>
      <c r="T11">
        <f>shipping_compact!D$8</f>
        <v>144364800</v>
      </c>
      <c r="U11">
        <f>shipping_compact!E$8</f>
        <v>4380</v>
      </c>
      <c r="V11">
        <f>shipping_compact!F$8</f>
        <v>25</v>
      </c>
      <c r="W11">
        <f>shipping_compact!G$8</f>
        <v>0.98699999999999999</v>
      </c>
      <c r="X11" s="25">
        <f>shipping_compact!I$8</f>
        <v>2.7777777777777779E-6</v>
      </c>
      <c r="Y11">
        <f>shipping_compact!J$8</f>
        <v>0.04</v>
      </c>
      <c r="Z11">
        <f>shipping_compact!L$8</f>
        <v>3.459434066044673E-4</v>
      </c>
      <c r="AA11" s="26">
        <f>shipping_compact!D$9</f>
        <v>226010</v>
      </c>
      <c r="AB11" s="26">
        <f>shipping_compact!F$9</f>
        <v>30</v>
      </c>
      <c r="AC11" s="24">
        <f>shipping_compact!G$9</f>
        <v>0.98</v>
      </c>
      <c r="AD11" s="24">
        <f>shipping_compact!H$9</f>
        <v>0.98</v>
      </c>
      <c r="AE11" s="24">
        <f>shipping_compact!J$9</f>
        <v>0.03</v>
      </c>
      <c r="AF11" s="22">
        <f>shipping_compact!K$9</f>
        <v>6.0006000600060011E-3</v>
      </c>
    </row>
    <row r="12" spans="1:32" x14ac:dyDescent="0.35">
      <c r="A12" t="s">
        <v>364</v>
      </c>
      <c r="B12" t="s">
        <v>354</v>
      </c>
      <c r="C12" t="str">
        <f t="shared" si="0"/>
        <v>h2liq_terminal_AS-QAT</v>
      </c>
      <c r="D12" t="s">
        <v>227</v>
      </c>
      <c r="E12" s="22">
        <v>25.883521009999999</v>
      </c>
      <c r="F12" s="22">
        <v>51.480261319999997</v>
      </c>
      <c r="G12" s="23" t="s">
        <v>129</v>
      </c>
      <c r="H12">
        <f>shipping_compact!$D$3</f>
        <v>938550</v>
      </c>
      <c r="I12">
        <f>shipping_compact!E$3</f>
        <v>6000</v>
      </c>
      <c r="J12">
        <f>shipping_compact!F$3</f>
        <v>30</v>
      </c>
      <c r="K12">
        <f>shipping_compact!G$3</f>
        <v>0.98</v>
      </c>
      <c r="L12" s="24">
        <f>shipping_compact!H$3</f>
        <v>0.74497449744974498</v>
      </c>
      <c r="M12" s="1">
        <f>shipping_compact!J$3</f>
        <v>3.2500000000000001E-2</v>
      </c>
      <c r="N12" s="28">
        <f>shipping_compact!K$3</f>
        <v>0</v>
      </c>
      <c r="O12" s="26">
        <f>shipping_compact!D$7</f>
        <v>14340588.988476301</v>
      </c>
      <c r="P12" s="26">
        <f>shipping_compact!F$7</f>
        <v>30</v>
      </c>
      <c r="Q12" s="26">
        <f>shipping_compact!G$7</f>
        <v>1</v>
      </c>
      <c r="R12" s="24">
        <f>shipping_compact!J$7</f>
        <v>0.04</v>
      </c>
      <c r="S12" s="24">
        <f>shipping_compact!L$7</f>
        <v>0</v>
      </c>
      <c r="T12">
        <f>shipping_compact!D$8</f>
        <v>144364800</v>
      </c>
      <c r="U12">
        <f>shipping_compact!E$8</f>
        <v>4380</v>
      </c>
      <c r="V12">
        <f>shipping_compact!F$8</f>
        <v>25</v>
      </c>
      <c r="W12">
        <f>shipping_compact!G$8</f>
        <v>0.98699999999999999</v>
      </c>
      <c r="X12" s="25">
        <f>shipping_compact!I$8</f>
        <v>2.7777777777777779E-6</v>
      </c>
      <c r="Y12">
        <f>shipping_compact!J$8</f>
        <v>0.04</v>
      </c>
      <c r="Z12">
        <f>shipping_compact!L$8</f>
        <v>3.459434066044673E-4</v>
      </c>
      <c r="AA12" s="26">
        <f>shipping_compact!D$9</f>
        <v>226010</v>
      </c>
      <c r="AB12" s="26">
        <f>shipping_compact!F$9</f>
        <v>30</v>
      </c>
      <c r="AC12" s="24">
        <f>shipping_compact!G$9</f>
        <v>0.98</v>
      </c>
      <c r="AD12" s="24">
        <f>shipping_compact!H$9</f>
        <v>0.98</v>
      </c>
      <c r="AE12" s="24">
        <f>shipping_compact!J$9</f>
        <v>0.03</v>
      </c>
      <c r="AF12" s="22">
        <f>shipping_compact!K$9</f>
        <v>6.0006000600060011E-3</v>
      </c>
    </row>
    <row r="13" spans="1:32" x14ac:dyDescent="0.35">
      <c r="A13" t="s">
        <v>365</v>
      </c>
      <c r="B13" t="s">
        <v>354</v>
      </c>
      <c r="C13" t="str">
        <f t="shared" si="0"/>
        <v>h2liq_terminal_AS-IND-WE</v>
      </c>
      <c r="D13" t="s">
        <v>205</v>
      </c>
      <c r="E13" s="22">
        <v>18.944742420000001</v>
      </c>
      <c r="F13" s="22">
        <v>72.950074349999994</v>
      </c>
      <c r="G13" s="23" t="s">
        <v>129</v>
      </c>
      <c r="H13">
        <f>shipping_compact!$D$3</f>
        <v>938550</v>
      </c>
      <c r="I13">
        <f>shipping_compact!E$3</f>
        <v>6000</v>
      </c>
      <c r="J13">
        <f>shipping_compact!F$3</f>
        <v>30</v>
      </c>
      <c r="K13">
        <f>shipping_compact!G$3</f>
        <v>0.98</v>
      </c>
      <c r="L13" s="24">
        <f>shipping_compact!H$3</f>
        <v>0.74497449744974498</v>
      </c>
      <c r="M13" s="1">
        <f>shipping_compact!J$3</f>
        <v>3.2500000000000001E-2</v>
      </c>
      <c r="N13" s="28">
        <f>shipping_compact!K$3</f>
        <v>0</v>
      </c>
      <c r="O13" s="26">
        <f>shipping_compact!D$7</f>
        <v>14340588.988476301</v>
      </c>
      <c r="P13" s="26">
        <f>shipping_compact!F$7</f>
        <v>30</v>
      </c>
      <c r="Q13" s="26">
        <f>shipping_compact!G$7</f>
        <v>1</v>
      </c>
      <c r="R13" s="24">
        <f>shipping_compact!J$7</f>
        <v>0.04</v>
      </c>
      <c r="S13" s="24">
        <f>shipping_compact!L$7</f>
        <v>0</v>
      </c>
      <c r="T13">
        <f>shipping_compact!D$8</f>
        <v>144364800</v>
      </c>
      <c r="U13">
        <f>shipping_compact!E$8</f>
        <v>4380</v>
      </c>
      <c r="V13">
        <f>shipping_compact!F$8</f>
        <v>25</v>
      </c>
      <c r="W13">
        <f>shipping_compact!G$8</f>
        <v>0.98699999999999999</v>
      </c>
      <c r="X13" s="25">
        <f>shipping_compact!I$8</f>
        <v>2.7777777777777779E-6</v>
      </c>
      <c r="Y13">
        <f>shipping_compact!J$8</f>
        <v>0.04</v>
      </c>
      <c r="Z13">
        <f>shipping_compact!L$8</f>
        <v>3.459434066044673E-4</v>
      </c>
      <c r="AA13" s="26">
        <f>shipping_compact!D$9</f>
        <v>226010</v>
      </c>
      <c r="AB13" s="26">
        <f>shipping_compact!F$9</f>
        <v>30</v>
      </c>
      <c r="AC13" s="24">
        <f>shipping_compact!G$9</f>
        <v>0.98</v>
      </c>
      <c r="AD13" s="24">
        <f>shipping_compact!H$9</f>
        <v>0.98</v>
      </c>
      <c r="AE13" s="24">
        <f>shipping_compact!J$9</f>
        <v>0.03</v>
      </c>
      <c r="AF13" s="22">
        <f>shipping_compact!K$9</f>
        <v>6.0006000600060011E-3</v>
      </c>
    </row>
    <row r="14" spans="1:32" x14ac:dyDescent="0.35">
      <c r="A14" t="s">
        <v>365</v>
      </c>
      <c r="B14" t="s">
        <v>354</v>
      </c>
      <c r="C14" t="str">
        <f t="shared" si="0"/>
        <v>h2liq_terminal_AS-IND-WE</v>
      </c>
      <c r="D14" t="s">
        <v>366</v>
      </c>
      <c r="E14" s="22">
        <v>18.944742420000001</v>
      </c>
      <c r="F14" s="22">
        <v>72.950074349999994</v>
      </c>
      <c r="G14" s="23" t="s">
        <v>129</v>
      </c>
      <c r="H14">
        <f>shipping_compact!$D$3</f>
        <v>938550</v>
      </c>
      <c r="I14">
        <f>shipping_compact!E$3</f>
        <v>6000</v>
      </c>
      <c r="J14">
        <f>shipping_compact!F$3</f>
        <v>30</v>
      </c>
      <c r="K14">
        <f>shipping_compact!G$3</f>
        <v>0.98</v>
      </c>
      <c r="L14" s="24">
        <f>shipping_compact!H$3</f>
        <v>0.74497449744974498</v>
      </c>
      <c r="M14" s="1">
        <f>shipping_compact!J$3</f>
        <v>3.2500000000000001E-2</v>
      </c>
      <c r="N14" s="28">
        <f>shipping_compact!K$3</f>
        <v>0</v>
      </c>
      <c r="O14" s="26">
        <f>shipping_compact!D$7</f>
        <v>14340588.988476301</v>
      </c>
      <c r="P14" s="26">
        <f>shipping_compact!F$7</f>
        <v>30</v>
      </c>
      <c r="Q14" s="26">
        <f>shipping_compact!G$7</f>
        <v>1</v>
      </c>
      <c r="R14" s="24">
        <f>shipping_compact!J$7</f>
        <v>0.04</v>
      </c>
      <c r="S14" s="24">
        <f>shipping_compact!L$7</f>
        <v>0</v>
      </c>
      <c r="T14">
        <f>shipping_compact!D$8</f>
        <v>144364800</v>
      </c>
      <c r="U14">
        <f>shipping_compact!E$8</f>
        <v>4380</v>
      </c>
      <c r="V14">
        <f>shipping_compact!F$8</f>
        <v>25</v>
      </c>
      <c r="W14">
        <f>shipping_compact!G$8</f>
        <v>0.98699999999999999</v>
      </c>
      <c r="X14" s="25">
        <f>shipping_compact!I$8</f>
        <v>2.7777777777777779E-6</v>
      </c>
      <c r="Y14">
        <f>shipping_compact!J$8</f>
        <v>0.04</v>
      </c>
      <c r="Z14">
        <f>shipping_compact!L$8</f>
        <v>3.459434066044673E-4</v>
      </c>
      <c r="AA14" s="26">
        <f>shipping_compact!D$9</f>
        <v>226010</v>
      </c>
      <c r="AB14" s="26">
        <f>shipping_compact!F$9</f>
        <v>30</v>
      </c>
      <c r="AC14" s="24">
        <f>shipping_compact!G$9</f>
        <v>0.98</v>
      </c>
      <c r="AD14" s="24">
        <f>shipping_compact!H$9</f>
        <v>0.98</v>
      </c>
      <c r="AE14" s="24">
        <f>shipping_compact!J$9</f>
        <v>0.03</v>
      </c>
      <c r="AF14" s="22">
        <f>shipping_compact!K$9</f>
        <v>6.0006000600060011E-3</v>
      </c>
    </row>
    <row r="15" spans="1:32" x14ac:dyDescent="0.35">
      <c r="A15" t="s">
        <v>367</v>
      </c>
      <c r="B15" t="s">
        <v>354</v>
      </c>
      <c r="C15" t="str">
        <f t="shared" si="0"/>
        <v>h2liq_terminal_AS-BGD</v>
      </c>
      <c r="D15" t="s">
        <v>199</v>
      </c>
      <c r="E15" s="22">
        <v>22.256499399999999</v>
      </c>
      <c r="F15" s="22">
        <v>91.784941779999997</v>
      </c>
      <c r="G15" s="23" t="s">
        <v>129</v>
      </c>
      <c r="H15">
        <f>shipping_compact!$D$3</f>
        <v>938550</v>
      </c>
      <c r="I15">
        <f>shipping_compact!E$3</f>
        <v>6000</v>
      </c>
      <c r="J15">
        <f>shipping_compact!F$3</f>
        <v>30</v>
      </c>
      <c r="K15">
        <f>shipping_compact!G$3</f>
        <v>0.98</v>
      </c>
      <c r="L15" s="24">
        <f>shipping_compact!H$3</f>
        <v>0.74497449744974498</v>
      </c>
      <c r="M15" s="1">
        <f>shipping_compact!J$3</f>
        <v>3.2500000000000001E-2</v>
      </c>
      <c r="N15" s="28">
        <f>shipping_compact!K$3</f>
        <v>0</v>
      </c>
      <c r="O15" s="26">
        <f>shipping_compact!D$7</f>
        <v>14340588.988476301</v>
      </c>
      <c r="P15" s="26">
        <f>shipping_compact!F$7</f>
        <v>30</v>
      </c>
      <c r="Q15" s="26">
        <f>shipping_compact!G$7</f>
        <v>1</v>
      </c>
      <c r="R15" s="24">
        <f>shipping_compact!J$7</f>
        <v>0.04</v>
      </c>
      <c r="S15" s="24">
        <f>shipping_compact!L$7</f>
        <v>0</v>
      </c>
      <c r="T15">
        <f>shipping_compact!D$8</f>
        <v>144364800</v>
      </c>
      <c r="U15">
        <f>shipping_compact!E$8</f>
        <v>4380</v>
      </c>
      <c r="V15">
        <f>shipping_compact!F$8</f>
        <v>25</v>
      </c>
      <c r="W15">
        <f>shipping_compact!G$8</f>
        <v>0.98699999999999999</v>
      </c>
      <c r="X15" s="25">
        <f>shipping_compact!I$8</f>
        <v>2.7777777777777779E-6</v>
      </c>
      <c r="Y15">
        <f>shipping_compact!J$8</f>
        <v>0.04</v>
      </c>
      <c r="Z15">
        <f>shipping_compact!L$8</f>
        <v>3.459434066044673E-4</v>
      </c>
      <c r="AA15" s="26">
        <f>shipping_compact!D$9</f>
        <v>226010</v>
      </c>
      <c r="AB15" s="26">
        <f>shipping_compact!F$9</f>
        <v>30</v>
      </c>
      <c r="AC15" s="24">
        <f>shipping_compact!G$9</f>
        <v>0.98</v>
      </c>
      <c r="AD15" s="24">
        <f>shipping_compact!H$9</f>
        <v>0.98</v>
      </c>
      <c r="AE15" s="24">
        <f>shipping_compact!J$9</f>
        <v>0.03</v>
      </c>
      <c r="AF15" s="22">
        <f>shipping_compact!K$9</f>
        <v>6.0006000600060011E-3</v>
      </c>
    </row>
    <row r="16" spans="1:32" x14ac:dyDescent="0.35">
      <c r="A16" t="s">
        <v>368</v>
      </c>
      <c r="B16" t="s">
        <v>354</v>
      </c>
      <c r="C16" t="str">
        <f t="shared" si="0"/>
        <v>h2liq_terminal_AS-SGP</v>
      </c>
      <c r="D16" t="s">
        <v>230</v>
      </c>
      <c r="E16" s="22">
        <v>1.2924510250000001</v>
      </c>
      <c r="F16" s="22">
        <v>103.63954649999999</v>
      </c>
      <c r="G16" s="23" t="s">
        <v>129</v>
      </c>
      <c r="H16">
        <f>shipping_compact!$D$3</f>
        <v>938550</v>
      </c>
      <c r="I16">
        <f>shipping_compact!E$3</f>
        <v>6000</v>
      </c>
      <c r="J16">
        <f>shipping_compact!F$3</f>
        <v>30</v>
      </c>
      <c r="K16">
        <f>shipping_compact!G$3</f>
        <v>0.98</v>
      </c>
      <c r="L16" s="24">
        <f>shipping_compact!H$3</f>
        <v>0.74497449744974498</v>
      </c>
      <c r="M16" s="1">
        <f>shipping_compact!J$3</f>
        <v>3.2500000000000001E-2</v>
      </c>
      <c r="N16" s="28">
        <f>shipping_compact!K$3</f>
        <v>0</v>
      </c>
      <c r="O16" s="26">
        <f>shipping_compact!D$7</f>
        <v>14340588.988476301</v>
      </c>
      <c r="P16" s="26">
        <f>shipping_compact!F$7</f>
        <v>30</v>
      </c>
      <c r="Q16" s="26">
        <f>shipping_compact!G$7</f>
        <v>1</v>
      </c>
      <c r="R16" s="24">
        <f>shipping_compact!J$7</f>
        <v>0.04</v>
      </c>
      <c r="S16" s="24">
        <f>shipping_compact!L$7</f>
        <v>0</v>
      </c>
      <c r="T16">
        <f>shipping_compact!D$8</f>
        <v>144364800</v>
      </c>
      <c r="U16">
        <f>shipping_compact!E$8</f>
        <v>4380</v>
      </c>
      <c r="V16">
        <f>shipping_compact!F$8</f>
        <v>25</v>
      </c>
      <c r="W16">
        <f>shipping_compact!G$8</f>
        <v>0.98699999999999999</v>
      </c>
      <c r="X16" s="25">
        <f>shipping_compact!I$8</f>
        <v>2.7777777777777779E-6</v>
      </c>
      <c r="Y16">
        <f>shipping_compact!J$8</f>
        <v>0.04</v>
      </c>
      <c r="Z16">
        <f>shipping_compact!L$8</f>
        <v>3.459434066044673E-4</v>
      </c>
      <c r="AA16" s="26">
        <f>shipping_compact!D$9</f>
        <v>226010</v>
      </c>
      <c r="AB16" s="26">
        <f>shipping_compact!F$9</f>
        <v>30</v>
      </c>
      <c r="AC16" s="24">
        <f>shipping_compact!G$9</f>
        <v>0.98</v>
      </c>
      <c r="AD16" s="24">
        <f>shipping_compact!H$9</f>
        <v>0.98</v>
      </c>
      <c r="AE16" s="24">
        <f>shipping_compact!J$9</f>
        <v>0.03</v>
      </c>
      <c r="AF16" s="22">
        <f>shipping_compact!K$9</f>
        <v>6.0006000600060011E-3</v>
      </c>
    </row>
    <row r="17" spans="1:32" x14ac:dyDescent="0.35">
      <c r="A17" t="s">
        <v>369</v>
      </c>
      <c r="B17" t="s">
        <v>354</v>
      </c>
      <c r="C17" t="str">
        <f t="shared" si="0"/>
        <v>h2liq_terminal_AS-IDN</v>
      </c>
      <c r="D17" t="s">
        <v>204</v>
      </c>
      <c r="E17" s="22">
        <v>-0.88613326299999995</v>
      </c>
      <c r="F17" s="22">
        <v>131.27111149999999</v>
      </c>
      <c r="G17" s="23" t="s">
        <v>129</v>
      </c>
      <c r="H17">
        <f>shipping_compact!$D$3</f>
        <v>938550</v>
      </c>
      <c r="I17">
        <f>shipping_compact!E$3</f>
        <v>6000</v>
      </c>
      <c r="J17">
        <f>shipping_compact!F$3</f>
        <v>30</v>
      </c>
      <c r="K17">
        <f>shipping_compact!G$3</f>
        <v>0.98</v>
      </c>
      <c r="L17" s="24">
        <f>shipping_compact!H$3</f>
        <v>0.74497449744974498</v>
      </c>
      <c r="M17" s="1">
        <f>shipping_compact!J$3</f>
        <v>3.2500000000000001E-2</v>
      </c>
      <c r="N17" s="28">
        <f>shipping_compact!K$3</f>
        <v>0</v>
      </c>
      <c r="O17" s="26">
        <f>shipping_compact!D$7</f>
        <v>14340588.988476301</v>
      </c>
      <c r="P17" s="26">
        <f>shipping_compact!F$7</f>
        <v>30</v>
      </c>
      <c r="Q17" s="26">
        <f>shipping_compact!G$7</f>
        <v>1</v>
      </c>
      <c r="R17" s="24">
        <f>shipping_compact!J$7</f>
        <v>0.04</v>
      </c>
      <c r="S17" s="24">
        <f>shipping_compact!L$7</f>
        <v>0</v>
      </c>
      <c r="T17">
        <f>shipping_compact!D$8</f>
        <v>144364800</v>
      </c>
      <c r="U17">
        <f>shipping_compact!E$8</f>
        <v>4380</v>
      </c>
      <c r="V17">
        <f>shipping_compact!F$8</f>
        <v>25</v>
      </c>
      <c r="W17">
        <f>shipping_compact!G$8</f>
        <v>0.98699999999999999</v>
      </c>
      <c r="X17" s="25">
        <f>shipping_compact!I$8</f>
        <v>2.7777777777777779E-6</v>
      </c>
      <c r="Y17">
        <f>shipping_compact!J$8</f>
        <v>0.04</v>
      </c>
      <c r="Z17">
        <f>shipping_compact!L$8</f>
        <v>3.459434066044673E-4</v>
      </c>
      <c r="AA17" s="26">
        <f>shipping_compact!D$9</f>
        <v>226010</v>
      </c>
      <c r="AB17" s="26">
        <f>shipping_compact!F$9</f>
        <v>30</v>
      </c>
      <c r="AC17" s="24">
        <f>shipping_compact!G$9</f>
        <v>0.98</v>
      </c>
      <c r="AD17" s="24">
        <f>shipping_compact!H$9</f>
        <v>0.98</v>
      </c>
      <c r="AE17" s="24">
        <f>shipping_compact!J$9</f>
        <v>0.03</v>
      </c>
      <c r="AF17" s="22">
        <f>shipping_compact!K$9</f>
        <v>6.0006000600060011E-3</v>
      </c>
    </row>
    <row r="18" spans="1:32" x14ac:dyDescent="0.35">
      <c r="A18" t="s">
        <v>370</v>
      </c>
      <c r="B18" t="s">
        <v>354</v>
      </c>
      <c r="C18" t="str">
        <f t="shared" si="0"/>
        <v>h2liq_terminal_AS-CHN-SH</v>
      </c>
      <c r="D18" t="s">
        <v>203</v>
      </c>
      <c r="E18" s="22">
        <v>31.331849340000002</v>
      </c>
      <c r="F18" s="22">
        <v>121.63780029999999</v>
      </c>
      <c r="G18" s="23" t="s">
        <v>129</v>
      </c>
      <c r="H18">
        <f>shipping_compact!$D$3</f>
        <v>938550</v>
      </c>
      <c r="I18">
        <f>shipping_compact!E$3</f>
        <v>6000</v>
      </c>
      <c r="J18">
        <f>shipping_compact!F$3</f>
        <v>30</v>
      </c>
      <c r="K18">
        <f>shipping_compact!G$3</f>
        <v>0.98</v>
      </c>
      <c r="L18" s="24">
        <f>shipping_compact!H$3</f>
        <v>0.74497449744974498</v>
      </c>
      <c r="M18" s="1">
        <f>shipping_compact!J$3</f>
        <v>3.2500000000000001E-2</v>
      </c>
      <c r="N18" s="28">
        <f>shipping_compact!K$3</f>
        <v>0</v>
      </c>
      <c r="O18" s="26">
        <f>shipping_compact!D$7</f>
        <v>14340588.988476301</v>
      </c>
      <c r="P18" s="26">
        <f>shipping_compact!F$7</f>
        <v>30</v>
      </c>
      <c r="Q18" s="26">
        <f>shipping_compact!G$7</f>
        <v>1</v>
      </c>
      <c r="R18" s="24">
        <f>shipping_compact!J$7</f>
        <v>0.04</v>
      </c>
      <c r="S18" s="24">
        <f>shipping_compact!L$7</f>
        <v>0</v>
      </c>
      <c r="T18">
        <f>shipping_compact!D$8</f>
        <v>144364800</v>
      </c>
      <c r="U18">
        <f>shipping_compact!E$8</f>
        <v>4380</v>
      </c>
      <c r="V18">
        <f>shipping_compact!F$8</f>
        <v>25</v>
      </c>
      <c r="W18">
        <f>shipping_compact!G$8</f>
        <v>0.98699999999999999</v>
      </c>
      <c r="X18" s="25">
        <f>shipping_compact!I$8</f>
        <v>2.7777777777777779E-6</v>
      </c>
      <c r="Y18">
        <f>shipping_compact!J$8</f>
        <v>0.04</v>
      </c>
      <c r="Z18">
        <f>shipping_compact!L$8</f>
        <v>3.459434066044673E-4</v>
      </c>
      <c r="AA18" s="26">
        <f>shipping_compact!D$9</f>
        <v>226010</v>
      </c>
      <c r="AB18" s="26">
        <f>shipping_compact!F$9</f>
        <v>30</v>
      </c>
      <c r="AC18" s="24">
        <f>shipping_compact!G$9</f>
        <v>0.98</v>
      </c>
      <c r="AD18" s="24">
        <f>shipping_compact!H$9</f>
        <v>0.98</v>
      </c>
      <c r="AE18" s="24">
        <f>shipping_compact!J$9</f>
        <v>0.03</v>
      </c>
      <c r="AF18" s="22">
        <f>shipping_compact!K$9</f>
        <v>6.0006000600060011E-3</v>
      </c>
    </row>
    <row r="19" spans="1:32" x14ac:dyDescent="0.35">
      <c r="A19" t="s">
        <v>370</v>
      </c>
      <c r="B19" t="s">
        <v>354</v>
      </c>
      <c r="C19" t="str">
        <f t="shared" si="0"/>
        <v>h2liq_terminal_AS-CHN-SH</v>
      </c>
      <c r="D19" t="s">
        <v>371</v>
      </c>
      <c r="E19" s="22">
        <v>31.331849340000002</v>
      </c>
      <c r="F19" s="22">
        <v>121.63780029999999</v>
      </c>
      <c r="G19" s="23" t="s">
        <v>129</v>
      </c>
      <c r="H19">
        <f>shipping_compact!$D$3</f>
        <v>938550</v>
      </c>
      <c r="I19">
        <f>shipping_compact!E$3</f>
        <v>6000</v>
      </c>
      <c r="J19">
        <f>shipping_compact!F$3</f>
        <v>30</v>
      </c>
      <c r="K19">
        <f>shipping_compact!G$3</f>
        <v>0.98</v>
      </c>
      <c r="L19" s="24">
        <f>shipping_compact!H$3</f>
        <v>0.74497449744974498</v>
      </c>
      <c r="M19" s="1">
        <f>shipping_compact!J$3</f>
        <v>3.2500000000000001E-2</v>
      </c>
      <c r="N19" s="28">
        <f>shipping_compact!K$3</f>
        <v>0</v>
      </c>
      <c r="O19" s="26">
        <f>shipping_compact!D$7</f>
        <v>14340588.988476301</v>
      </c>
      <c r="P19" s="26">
        <f>shipping_compact!F$7</f>
        <v>30</v>
      </c>
      <c r="Q19" s="26">
        <f>shipping_compact!G$7</f>
        <v>1</v>
      </c>
      <c r="R19" s="24">
        <f>shipping_compact!J$7</f>
        <v>0.04</v>
      </c>
      <c r="S19" s="24">
        <f>shipping_compact!L$7</f>
        <v>0</v>
      </c>
      <c r="T19">
        <f>shipping_compact!D$8</f>
        <v>144364800</v>
      </c>
      <c r="U19">
        <f>shipping_compact!E$8</f>
        <v>4380</v>
      </c>
      <c r="V19">
        <f>shipping_compact!F$8</f>
        <v>25</v>
      </c>
      <c r="W19">
        <f>shipping_compact!G$8</f>
        <v>0.98699999999999999</v>
      </c>
      <c r="X19" s="25">
        <f>shipping_compact!I$8</f>
        <v>2.7777777777777779E-6</v>
      </c>
      <c r="Y19">
        <f>shipping_compact!J$8</f>
        <v>0.04</v>
      </c>
      <c r="Z19">
        <f>shipping_compact!L$8</f>
        <v>3.459434066044673E-4</v>
      </c>
      <c r="AA19" s="26">
        <f>shipping_compact!D$9</f>
        <v>226010</v>
      </c>
      <c r="AB19" s="26">
        <f>shipping_compact!F$9</f>
        <v>30</v>
      </c>
      <c r="AC19" s="24">
        <f>shipping_compact!G$9</f>
        <v>0.98</v>
      </c>
      <c r="AD19" s="24">
        <f>shipping_compact!H$9</f>
        <v>0.98</v>
      </c>
      <c r="AE19" s="24">
        <f>shipping_compact!J$9</f>
        <v>0.03</v>
      </c>
      <c r="AF19" s="22">
        <f>shipping_compact!K$9</f>
        <v>6.0006000600060011E-3</v>
      </c>
    </row>
    <row r="20" spans="1:32" x14ac:dyDescent="0.35">
      <c r="A20" t="s">
        <v>372</v>
      </c>
      <c r="B20" t="s">
        <v>354</v>
      </c>
      <c r="C20" t="str">
        <f t="shared" si="0"/>
        <v>h2liq_terminal_AS-JPN-TO</v>
      </c>
      <c r="D20" t="s">
        <v>210</v>
      </c>
      <c r="E20" s="22">
        <v>35.477499450000003</v>
      </c>
      <c r="F20" s="22">
        <v>139.67820470000001</v>
      </c>
      <c r="G20" s="23" t="s">
        <v>129</v>
      </c>
      <c r="H20">
        <f>shipping_compact!$D$3</f>
        <v>938550</v>
      </c>
      <c r="I20">
        <f>shipping_compact!E$3</f>
        <v>6000</v>
      </c>
      <c r="J20">
        <f>shipping_compact!F$3</f>
        <v>30</v>
      </c>
      <c r="K20">
        <f>shipping_compact!G$3</f>
        <v>0.98</v>
      </c>
      <c r="L20" s="24">
        <f>shipping_compact!H$3</f>
        <v>0.74497449744974498</v>
      </c>
      <c r="M20" s="1">
        <f>shipping_compact!J$3</f>
        <v>3.2500000000000001E-2</v>
      </c>
      <c r="N20" s="28">
        <f>shipping_compact!K$3</f>
        <v>0</v>
      </c>
      <c r="O20" s="26">
        <f>shipping_compact!D$7</f>
        <v>14340588.988476301</v>
      </c>
      <c r="P20" s="26">
        <f>shipping_compact!F$7</f>
        <v>30</v>
      </c>
      <c r="Q20" s="26">
        <f>shipping_compact!G$7</f>
        <v>1</v>
      </c>
      <c r="R20" s="24">
        <f>shipping_compact!J$7</f>
        <v>0.04</v>
      </c>
      <c r="S20" s="24">
        <f>shipping_compact!L$7</f>
        <v>0</v>
      </c>
      <c r="T20">
        <f>shipping_compact!D$8</f>
        <v>144364800</v>
      </c>
      <c r="U20">
        <f>shipping_compact!E$8</f>
        <v>4380</v>
      </c>
      <c r="V20">
        <f>shipping_compact!F$8</f>
        <v>25</v>
      </c>
      <c r="W20">
        <f>shipping_compact!G$8</f>
        <v>0.98699999999999999</v>
      </c>
      <c r="X20" s="25">
        <f>shipping_compact!I$8</f>
        <v>2.7777777777777779E-6</v>
      </c>
      <c r="Y20">
        <f>shipping_compact!J$8</f>
        <v>0.04</v>
      </c>
      <c r="Z20">
        <f>shipping_compact!L$8</f>
        <v>3.459434066044673E-4</v>
      </c>
      <c r="AA20" s="26">
        <f>shipping_compact!D$9</f>
        <v>226010</v>
      </c>
      <c r="AB20" s="26">
        <f>shipping_compact!F$9</f>
        <v>30</v>
      </c>
      <c r="AC20" s="24">
        <f>shipping_compact!G$9</f>
        <v>0.98</v>
      </c>
      <c r="AD20" s="24">
        <f>shipping_compact!H$9</f>
        <v>0.98</v>
      </c>
      <c r="AE20" s="24">
        <f>shipping_compact!J$9</f>
        <v>0.03</v>
      </c>
      <c r="AF20" s="22">
        <f>shipping_compact!K$9</f>
        <v>6.0006000600060011E-3</v>
      </c>
    </row>
    <row r="21" spans="1:32" x14ac:dyDescent="0.35">
      <c r="A21" t="s">
        <v>372</v>
      </c>
      <c r="B21" t="s">
        <v>354</v>
      </c>
      <c r="C21" t="str">
        <f t="shared" si="0"/>
        <v>h2liq_terminal_AS-JPN-TO</v>
      </c>
      <c r="D21" t="s">
        <v>373</v>
      </c>
      <c r="E21" s="22">
        <v>35.477499450000003</v>
      </c>
      <c r="F21" s="22">
        <v>139.67820470000001</v>
      </c>
      <c r="G21" s="23" t="s">
        <v>129</v>
      </c>
      <c r="H21">
        <f>shipping_compact!$D$3</f>
        <v>938550</v>
      </c>
      <c r="I21">
        <f>shipping_compact!E$3</f>
        <v>6000</v>
      </c>
      <c r="J21">
        <f>shipping_compact!F$3</f>
        <v>30</v>
      </c>
      <c r="K21">
        <f>shipping_compact!G$3</f>
        <v>0.98</v>
      </c>
      <c r="L21" s="24">
        <f>shipping_compact!H$3</f>
        <v>0.74497449744974498</v>
      </c>
      <c r="M21" s="1">
        <f>shipping_compact!J$3</f>
        <v>3.2500000000000001E-2</v>
      </c>
      <c r="N21" s="28">
        <f>shipping_compact!K$3</f>
        <v>0</v>
      </c>
      <c r="O21" s="26">
        <f>shipping_compact!D$7</f>
        <v>14340588.988476301</v>
      </c>
      <c r="P21" s="26">
        <f>shipping_compact!F$7</f>
        <v>30</v>
      </c>
      <c r="Q21" s="26">
        <f>shipping_compact!G$7</f>
        <v>1</v>
      </c>
      <c r="R21" s="24">
        <f>shipping_compact!J$7</f>
        <v>0.04</v>
      </c>
      <c r="S21" s="24">
        <f>shipping_compact!L$7</f>
        <v>0</v>
      </c>
      <c r="T21">
        <f>shipping_compact!D$8</f>
        <v>144364800</v>
      </c>
      <c r="U21">
        <f>shipping_compact!E$8</f>
        <v>4380</v>
      </c>
      <c r="V21">
        <f>shipping_compact!F$8</f>
        <v>25</v>
      </c>
      <c r="W21">
        <f>shipping_compact!G$8</f>
        <v>0.98699999999999999</v>
      </c>
      <c r="X21" s="25">
        <f>shipping_compact!I$8</f>
        <v>2.7777777777777779E-6</v>
      </c>
      <c r="Y21">
        <f>shipping_compact!J$8</f>
        <v>0.04</v>
      </c>
      <c r="Z21">
        <f>shipping_compact!L$8</f>
        <v>3.459434066044673E-4</v>
      </c>
      <c r="AA21" s="26">
        <f>shipping_compact!D$9</f>
        <v>226010</v>
      </c>
      <c r="AB21" s="26">
        <f>shipping_compact!F$9</f>
        <v>30</v>
      </c>
      <c r="AC21" s="24">
        <f>shipping_compact!G$9</f>
        <v>0.98</v>
      </c>
      <c r="AD21" s="24">
        <f>shipping_compact!H$9</f>
        <v>0.98</v>
      </c>
      <c r="AE21" s="24">
        <f>shipping_compact!J$9</f>
        <v>0.03</v>
      </c>
      <c r="AF21" s="22">
        <f>shipping_compact!K$9</f>
        <v>6.0006000600060011E-3</v>
      </c>
    </row>
    <row r="22" spans="1:32" x14ac:dyDescent="0.35">
      <c r="A22" t="s">
        <v>374</v>
      </c>
      <c r="B22" t="s">
        <v>354</v>
      </c>
      <c r="C22" t="str">
        <f t="shared" si="0"/>
        <v>h2liq_terminal_AS-VNM</v>
      </c>
      <c r="D22" t="s">
        <v>238</v>
      </c>
      <c r="E22" s="22">
        <v>20.71420444</v>
      </c>
      <c r="F22" s="22">
        <v>106.7809084</v>
      </c>
      <c r="G22" s="23" t="s">
        <v>129</v>
      </c>
      <c r="H22">
        <f>shipping_compact!$D$3</f>
        <v>938550</v>
      </c>
      <c r="I22">
        <f>shipping_compact!E$3</f>
        <v>6000</v>
      </c>
      <c r="J22">
        <f>shipping_compact!F$3</f>
        <v>30</v>
      </c>
      <c r="K22">
        <f>shipping_compact!G$3</f>
        <v>0.98</v>
      </c>
      <c r="L22" s="24">
        <f>shipping_compact!H$3</f>
        <v>0.74497449744974498</v>
      </c>
      <c r="M22" s="1">
        <f>shipping_compact!J$3</f>
        <v>3.2500000000000001E-2</v>
      </c>
      <c r="N22" s="28">
        <f>shipping_compact!K$3</f>
        <v>0</v>
      </c>
      <c r="O22" s="26">
        <f>shipping_compact!D$7</f>
        <v>14340588.988476301</v>
      </c>
      <c r="P22" s="26">
        <f>shipping_compact!F$7</f>
        <v>30</v>
      </c>
      <c r="Q22" s="26">
        <f>shipping_compact!G$7</f>
        <v>1</v>
      </c>
      <c r="R22" s="24">
        <f>shipping_compact!J$7</f>
        <v>0.04</v>
      </c>
      <c r="S22" s="24">
        <f>shipping_compact!L$7</f>
        <v>0</v>
      </c>
      <c r="T22">
        <f>shipping_compact!D$8</f>
        <v>144364800</v>
      </c>
      <c r="U22">
        <f>shipping_compact!E$8</f>
        <v>4380</v>
      </c>
      <c r="V22">
        <f>shipping_compact!F$8</f>
        <v>25</v>
      </c>
      <c r="W22">
        <f>shipping_compact!G$8</f>
        <v>0.98699999999999999</v>
      </c>
      <c r="X22" s="25">
        <f>shipping_compact!I$8</f>
        <v>2.7777777777777779E-6</v>
      </c>
      <c r="Y22">
        <f>shipping_compact!J$8</f>
        <v>0.04</v>
      </c>
      <c r="Z22">
        <f>shipping_compact!L$8</f>
        <v>3.459434066044673E-4</v>
      </c>
      <c r="AA22" s="26">
        <f>shipping_compact!D$9</f>
        <v>226010</v>
      </c>
      <c r="AB22" s="26">
        <f>shipping_compact!F$9</f>
        <v>30</v>
      </c>
      <c r="AC22" s="24">
        <f>shipping_compact!G$9</f>
        <v>0.98</v>
      </c>
      <c r="AD22" s="24">
        <f>shipping_compact!H$9</f>
        <v>0.98</v>
      </c>
      <c r="AE22" s="24">
        <f>shipping_compact!J$9</f>
        <v>0.03</v>
      </c>
      <c r="AF22" s="22">
        <f>shipping_compact!K$9</f>
        <v>6.0006000600060011E-3</v>
      </c>
    </row>
    <row r="23" spans="1:32" x14ac:dyDescent="0.35">
      <c r="A23" t="s">
        <v>375</v>
      </c>
      <c r="B23" t="s">
        <v>354</v>
      </c>
      <c r="C23" t="str">
        <f t="shared" si="0"/>
        <v>h2liq_terminal_OC-AUS-SW</v>
      </c>
      <c r="D23" t="s">
        <v>169</v>
      </c>
      <c r="E23" s="22">
        <v>-34.453054180000002</v>
      </c>
      <c r="F23" s="22">
        <v>150.89914529999999</v>
      </c>
      <c r="G23" s="23" t="s">
        <v>129</v>
      </c>
      <c r="H23">
        <f>shipping_compact!$D$3</f>
        <v>938550</v>
      </c>
      <c r="I23">
        <f>shipping_compact!E$3</f>
        <v>6000</v>
      </c>
      <c r="J23">
        <f>shipping_compact!F$3</f>
        <v>30</v>
      </c>
      <c r="K23">
        <f>shipping_compact!G$3</f>
        <v>0.98</v>
      </c>
      <c r="L23" s="24">
        <f>shipping_compact!H$3</f>
        <v>0.74497449744974498</v>
      </c>
      <c r="M23" s="1">
        <f>shipping_compact!J$3</f>
        <v>3.2500000000000001E-2</v>
      </c>
      <c r="N23" s="28">
        <f>shipping_compact!K$3</f>
        <v>0</v>
      </c>
      <c r="O23" s="26">
        <f>shipping_compact!D$7</f>
        <v>14340588.988476301</v>
      </c>
      <c r="P23" s="26">
        <f>shipping_compact!F$7</f>
        <v>30</v>
      </c>
      <c r="Q23" s="26">
        <f>shipping_compact!G$7</f>
        <v>1</v>
      </c>
      <c r="R23" s="24">
        <f>shipping_compact!J$7</f>
        <v>0.04</v>
      </c>
      <c r="S23" s="24">
        <f>shipping_compact!L$7</f>
        <v>0</v>
      </c>
      <c r="T23">
        <f>shipping_compact!D$8</f>
        <v>144364800</v>
      </c>
      <c r="U23">
        <f>shipping_compact!E$8</f>
        <v>4380</v>
      </c>
      <c r="V23">
        <f>shipping_compact!F$8</f>
        <v>25</v>
      </c>
      <c r="W23">
        <f>shipping_compact!G$8</f>
        <v>0.98699999999999999</v>
      </c>
      <c r="X23" s="25">
        <f>shipping_compact!I$8</f>
        <v>2.7777777777777779E-6</v>
      </c>
      <c r="Y23">
        <f>shipping_compact!J$8</f>
        <v>0.04</v>
      </c>
      <c r="Z23">
        <f>shipping_compact!L$8</f>
        <v>3.459434066044673E-4</v>
      </c>
      <c r="AA23" s="26">
        <f>shipping_compact!D$9</f>
        <v>226010</v>
      </c>
      <c r="AB23" s="26">
        <f>shipping_compact!F$9</f>
        <v>30</v>
      </c>
      <c r="AC23" s="24">
        <f>shipping_compact!G$9</f>
        <v>0.98</v>
      </c>
      <c r="AD23" s="24">
        <f>shipping_compact!H$9</f>
        <v>0.98</v>
      </c>
      <c r="AE23" s="24">
        <f>shipping_compact!J$9</f>
        <v>0.03</v>
      </c>
      <c r="AF23" s="22">
        <f>shipping_compact!K$9</f>
        <v>6.0006000600060011E-3</v>
      </c>
    </row>
    <row r="24" spans="1:32" x14ac:dyDescent="0.35">
      <c r="A24" t="s">
        <v>376</v>
      </c>
      <c r="B24" t="s">
        <v>354</v>
      </c>
      <c r="C24" t="str">
        <f t="shared" si="0"/>
        <v>h2liq_terminal_OC-AUS-WA</v>
      </c>
      <c r="D24" t="s">
        <v>169</v>
      </c>
      <c r="E24" s="22">
        <v>-21.80043045</v>
      </c>
      <c r="F24" s="22">
        <v>114.8019882</v>
      </c>
      <c r="G24" s="23" t="s">
        <v>129</v>
      </c>
      <c r="H24">
        <f>shipping_compact!$D$3</f>
        <v>938550</v>
      </c>
      <c r="I24">
        <f>shipping_compact!E$3</f>
        <v>6000</v>
      </c>
      <c r="J24">
        <f>shipping_compact!F$3</f>
        <v>30</v>
      </c>
      <c r="K24">
        <f>shipping_compact!G$3</f>
        <v>0.98</v>
      </c>
      <c r="L24" s="24">
        <f>shipping_compact!H$3</f>
        <v>0.74497449744974498</v>
      </c>
      <c r="M24" s="1">
        <f>shipping_compact!J$3</f>
        <v>3.2500000000000001E-2</v>
      </c>
      <c r="N24" s="28">
        <f>shipping_compact!K$3</f>
        <v>0</v>
      </c>
      <c r="O24" s="26">
        <f>shipping_compact!D$7</f>
        <v>14340588.988476301</v>
      </c>
      <c r="P24" s="26">
        <f>shipping_compact!F$7</f>
        <v>30</v>
      </c>
      <c r="Q24" s="26">
        <f>shipping_compact!G$7</f>
        <v>1</v>
      </c>
      <c r="R24" s="24">
        <f>shipping_compact!J$7</f>
        <v>0.04</v>
      </c>
      <c r="S24" s="24">
        <f>shipping_compact!L$7</f>
        <v>0</v>
      </c>
      <c r="T24">
        <f>shipping_compact!D$8</f>
        <v>144364800</v>
      </c>
      <c r="U24">
        <f>shipping_compact!E$8</f>
        <v>4380</v>
      </c>
      <c r="V24">
        <f>shipping_compact!F$8</f>
        <v>25</v>
      </c>
      <c r="W24">
        <f>shipping_compact!G$8</f>
        <v>0.98699999999999999</v>
      </c>
      <c r="X24" s="25">
        <f>shipping_compact!I$8</f>
        <v>2.7777777777777779E-6</v>
      </c>
      <c r="Y24">
        <f>shipping_compact!J$8</f>
        <v>0.04</v>
      </c>
      <c r="Z24">
        <f>shipping_compact!L$8</f>
        <v>3.459434066044673E-4</v>
      </c>
      <c r="AA24" s="26">
        <f>shipping_compact!D$9</f>
        <v>226010</v>
      </c>
      <c r="AB24" s="26">
        <f>shipping_compact!F$9</f>
        <v>30</v>
      </c>
      <c r="AC24" s="24">
        <f>shipping_compact!G$9</f>
        <v>0.98</v>
      </c>
      <c r="AD24" s="24">
        <f>shipping_compact!H$9</f>
        <v>0.98</v>
      </c>
      <c r="AE24" s="24">
        <f>shipping_compact!J$9</f>
        <v>0.03</v>
      </c>
      <c r="AF24" s="22">
        <f>shipping_compact!K$9</f>
        <v>6.0006000600060011E-3</v>
      </c>
    </row>
    <row r="25" spans="1:32" x14ac:dyDescent="0.35">
      <c r="A25" t="s">
        <v>375</v>
      </c>
      <c r="B25" t="s">
        <v>354</v>
      </c>
      <c r="C25" t="str">
        <f t="shared" si="0"/>
        <v>h2liq_terminal_OC-AUS-SW</v>
      </c>
      <c r="D25" t="s">
        <v>377</v>
      </c>
      <c r="E25" s="22">
        <v>-34.453054180000002</v>
      </c>
      <c r="F25" s="22">
        <v>150.89914529999999</v>
      </c>
      <c r="G25" s="23" t="s">
        <v>129</v>
      </c>
      <c r="H25">
        <f>shipping_compact!$D$3</f>
        <v>938550</v>
      </c>
      <c r="I25">
        <f>shipping_compact!E$3</f>
        <v>6000</v>
      </c>
      <c r="J25">
        <f>shipping_compact!F$3</f>
        <v>30</v>
      </c>
      <c r="K25">
        <f>shipping_compact!G$3</f>
        <v>0.98</v>
      </c>
      <c r="L25" s="24">
        <f>shipping_compact!H$3</f>
        <v>0.74497449744974498</v>
      </c>
      <c r="M25" s="1">
        <f>shipping_compact!J$3</f>
        <v>3.2500000000000001E-2</v>
      </c>
      <c r="N25" s="28">
        <f>shipping_compact!K$3</f>
        <v>0</v>
      </c>
      <c r="O25" s="26">
        <f>shipping_compact!D$7</f>
        <v>14340588.988476301</v>
      </c>
      <c r="P25" s="26">
        <f>shipping_compact!F$7</f>
        <v>30</v>
      </c>
      <c r="Q25" s="26">
        <f>shipping_compact!G$7</f>
        <v>1</v>
      </c>
      <c r="R25" s="24">
        <f>shipping_compact!J$7</f>
        <v>0.04</v>
      </c>
      <c r="S25" s="24">
        <f>shipping_compact!L$7</f>
        <v>0</v>
      </c>
      <c r="T25">
        <f>shipping_compact!D$8</f>
        <v>144364800</v>
      </c>
      <c r="U25">
        <f>shipping_compact!E$8</f>
        <v>4380</v>
      </c>
      <c r="V25">
        <f>shipping_compact!F$8</f>
        <v>25</v>
      </c>
      <c r="W25">
        <f>shipping_compact!G$8</f>
        <v>0.98699999999999999</v>
      </c>
      <c r="X25" s="25">
        <f>shipping_compact!I$8</f>
        <v>2.7777777777777779E-6</v>
      </c>
      <c r="Y25">
        <f>shipping_compact!J$8</f>
        <v>0.04</v>
      </c>
      <c r="Z25">
        <f>shipping_compact!L$8</f>
        <v>3.459434066044673E-4</v>
      </c>
      <c r="AA25" s="26">
        <f>shipping_compact!D$9</f>
        <v>226010</v>
      </c>
      <c r="AB25" s="26">
        <f>shipping_compact!F$9</f>
        <v>30</v>
      </c>
      <c r="AC25" s="24">
        <f>shipping_compact!G$9</f>
        <v>0.98</v>
      </c>
      <c r="AD25" s="24">
        <f>shipping_compact!H$9</f>
        <v>0.98</v>
      </c>
      <c r="AE25" s="24">
        <f>shipping_compact!J$9</f>
        <v>0.03</v>
      </c>
      <c r="AF25" s="22">
        <f>shipping_compact!K$9</f>
        <v>6.0006000600060011E-3</v>
      </c>
    </row>
    <row r="26" spans="1:32" x14ac:dyDescent="0.35">
      <c r="A26" t="s">
        <v>376</v>
      </c>
      <c r="B26" t="s">
        <v>354</v>
      </c>
      <c r="C26" t="str">
        <f t="shared" si="0"/>
        <v>h2liq_terminal_OC-AUS-WA</v>
      </c>
      <c r="D26" t="s">
        <v>378</v>
      </c>
      <c r="E26" s="22">
        <v>-21.80043045</v>
      </c>
      <c r="F26" s="22">
        <v>114.8019882</v>
      </c>
      <c r="G26" s="23" t="s">
        <v>129</v>
      </c>
      <c r="H26">
        <f>shipping_compact!$D$3</f>
        <v>938550</v>
      </c>
      <c r="I26">
        <f>shipping_compact!E$3</f>
        <v>6000</v>
      </c>
      <c r="J26">
        <f>shipping_compact!F$3</f>
        <v>30</v>
      </c>
      <c r="K26">
        <f>shipping_compact!G$3</f>
        <v>0.98</v>
      </c>
      <c r="L26" s="24">
        <f>shipping_compact!H$3</f>
        <v>0.74497449744974498</v>
      </c>
      <c r="M26" s="1">
        <f>shipping_compact!J$3</f>
        <v>3.2500000000000001E-2</v>
      </c>
      <c r="N26" s="28">
        <f>shipping_compact!K$3</f>
        <v>0</v>
      </c>
      <c r="O26" s="26">
        <f>shipping_compact!D$7</f>
        <v>14340588.988476301</v>
      </c>
      <c r="P26" s="26">
        <f>shipping_compact!F$7</f>
        <v>30</v>
      </c>
      <c r="Q26" s="26">
        <f>shipping_compact!G$7</f>
        <v>1</v>
      </c>
      <c r="R26" s="24">
        <f>shipping_compact!J$7</f>
        <v>0.04</v>
      </c>
      <c r="S26" s="24">
        <f>shipping_compact!L$7</f>
        <v>0</v>
      </c>
      <c r="T26">
        <f>shipping_compact!D$8</f>
        <v>144364800</v>
      </c>
      <c r="U26">
        <f>shipping_compact!E$8</f>
        <v>4380</v>
      </c>
      <c r="V26">
        <f>shipping_compact!F$8</f>
        <v>25</v>
      </c>
      <c r="W26">
        <f>shipping_compact!G$8</f>
        <v>0.98699999999999999</v>
      </c>
      <c r="X26" s="25">
        <f>shipping_compact!I$8</f>
        <v>2.7777777777777779E-6</v>
      </c>
      <c r="Y26">
        <f>shipping_compact!J$8</f>
        <v>0.04</v>
      </c>
      <c r="Z26">
        <f>shipping_compact!L$8</f>
        <v>3.459434066044673E-4</v>
      </c>
      <c r="AA26" s="26">
        <f>shipping_compact!D$9</f>
        <v>226010</v>
      </c>
      <c r="AB26" s="26">
        <f>shipping_compact!F$9</f>
        <v>30</v>
      </c>
      <c r="AC26" s="24">
        <f>shipping_compact!G$9</f>
        <v>0.98</v>
      </c>
      <c r="AD26" s="24">
        <f>shipping_compact!H$9</f>
        <v>0.98</v>
      </c>
      <c r="AE26" s="24">
        <f>shipping_compact!J$9</f>
        <v>0.03</v>
      </c>
      <c r="AF26" s="22">
        <f>shipping_compact!K$9</f>
        <v>6.0006000600060011E-3</v>
      </c>
    </row>
    <row r="27" spans="1:32" x14ac:dyDescent="0.35">
      <c r="A27" t="s">
        <v>379</v>
      </c>
      <c r="B27" t="s">
        <v>354</v>
      </c>
      <c r="C27" t="str">
        <f t="shared" si="0"/>
        <v>h2liq_terminal_OC-NZL</v>
      </c>
      <c r="D27" t="s">
        <v>186</v>
      </c>
      <c r="E27" s="22">
        <v>-41.341304000000001</v>
      </c>
      <c r="F27" s="22">
        <v>174.775081</v>
      </c>
      <c r="G27" s="23" t="s">
        <v>129</v>
      </c>
      <c r="H27">
        <f>shipping_compact!$D$3</f>
        <v>938550</v>
      </c>
      <c r="I27">
        <f>shipping_compact!E$3</f>
        <v>6000</v>
      </c>
      <c r="J27">
        <f>shipping_compact!F$3</f>
        <v>30</v>
      </c>
      <c r="K27">
        <f>shipping_compact!G$3</f>
        <v>0.98</v>
      </c>
      <c r="L27" s="24">
        <f>shipping_compact!H$3</f>
        <v>0.74497449744974498</v>
      </c>
      <c r="M27" s="1">
        <f>shipping_compact!J$3</f>
        <v>3.2500000000000001E-2</v>
      </c>
      <c r="N27" s="28">
        <f>shipping_compact!K$3</f>
        <v>0</v>
      </c>
      <c r="O27" s="26">
        <f>shipping_compact!D$7</f>
        <v>14340588.988476301</v>
      </c>
      <c r="P27" s="26">
        <f>shipping_compact!F$7</f>
        <v>30</v>
      </c>
      <c r="Q27" s="26">
        <f>shipping_compact!G$7</f>
        <v>1</v>
      </c>
      <c r="R27" s="24">
        <f>shipping_compact!J$7</f>
        <v>0.04</v>
      </c>
      <c r="S27" s="24">
        <f>shipping_compact!L$7</f>
        <v>0</v>
      </c>
      <c r="T27">
        <f>shipping_compact!D$8</f>
        <v>144364800</v>
      </c>
      <c r="U27">
        <f>shipping_compact!E$8</f>
        <v>4380</v>
      </c>
      <c r="V27">
        <f>shipping_compact!F$8</f>
        <v>25</v>
      </c>
      <c r="W27">
        <f>shipping_compact!G$8</f>
        <v>0.98699999999999999</v>
      </c>
      <c r="X27" s="25">
        <f>shipping_compact!I$8</f>
        <v>2.7777777777777779E-6</v>
      </c>
      <c r="Y27">
        <f>shipping_compact!J$8</f>
        <v>0.04</v>
      </c>
      <c r="Z27">
        <f>shipping_compact!L$8</f>
        <v>3.459434066044673E-4</v>
      </c>
      <c r="AA27" s="26">
        <f>shipping_compact!D$9</f>
        <v>226010</v>
      </c>
      <c r="AB27" s="26">
        <f>shipping_compact!F$9</f>
        <v>30</v>
      </c>
      <c r="AC27" s="24">
        <f>shipping_compact!G$9</f>
        <v>0.98</v>
      </c>
      <c r="AD27" s="24">
        <f>shipping_compact!H$9</f>
        <v>0.98</v>
      </c>
      <c r="AE27" s="24">
        <f>shipping_compact!J$9</f>
        <v>0.03</v>
      </c>
      <c r="AF27" s="22">
        <f>shipping_compact!K$9</f>
        <v>6.0006000600060011E-3</v>
      </c>
    </row>
    <row r="28" spans="1:32" x14ac:dyDescent="0.35">
      <c r="A28" t="s">
        <v>380</v>
      </c>
      <c r="B28" t="s">
        <v>354</v>
      </c>
      <c r="C28" t="str">
        <f t="shared" si="0"/>
        <v>h2liq_terminal_NA-USA-CA</v>
      </c>
      <c r="D28" t="s">
        <v>195</v>
      </c>
      <c r="E28" s="22">
        <v>37.805478909999998</v>
      </c>
      <c r="F28" s="22">
        <v>-122.31633100000001</v>
      </c>
      <c r="G28" s="23" t="s">
        <v>129</v>
      </c>
      <c r="H28">
        <f>shipping_compact!$D$3</f>
        <v>938550</v>
      </c>
      <c r="I28">
        <f>shipping_compact!E$3</f>
        <v>6000</v>
      </c>
      <c r="J28">
        <f>shipping_compact!F$3</f>
        <v>30</v>
      </c>
      <c r="K28">
        <f>shipping_compact!G$3</f>
        <v>0.98</v>
      </c>
      <c r="L28" s="24">
        <f>shipping_compact!H$3</f>
        <v>0.74497449744974498</v>
      </c>
      <c r="M28" s="1">
        <f>shipping_compact!J$3</f>
        <v>3.2500000000000001E-2</v>
      </c>
      <c r="N28" s="28">
        <f>shipping_compact!K$3</f>
        <v>0</v>
      </c>
      <c r="O28" s="26">
        <f>shipping_compact!D$7</f>
        <v>14340588.988476301</v>
      </c>
      <c r="P28" s="26">
        <f>shipping_compact!F$7</f>
        <v>30</v>
      </c>
      <c r="Q28" s="26">
        <f>shipping_compact!G$7</f>
        <v>1</v>
      </c>
      <c r="R28" s="24">
        <f>shipping_compact!J$7</f>
        <v>0.04</v>
      </c>
      <c r="S28" s="24">
        <f>shipping_compact!L$7</f>
        <v>0</v>
      </c>
      <c r="T28">
        <f>shipping_compact!D$8</f>
        <v>144364800</v>
      </c>
      <c r="U28">
        <f>shipping_compact!E$8</f>
        <v>4380</v>
      </c>
      <c r="V28">
        <f>shipping_compact!F$8</f>
        <v>25</v>
      </c>
      <c r="W28">
        <f>shipping_compact!G$8</f>
        <v>0.98699999999999999</v>
      </c>
      <c r="X28" s="25">
        <f>shipping_compact!I$8</f>
        <v>2.7777777777777779E-6</v>
      </c>
      <c r="Y28">
        <f>shipping_compact!J$8</f>
        <v>0.04</v>
      </c>
      <c r="Z28">
        <f>shipping_compact!L$8</f>
        <v>3.459434066044673E-4</v>
      </c>
      <c r="AA28" s="26">
        <f>shipping_compact!D$9</f>
        <v>226010</v>
      </c>
      <c r="AB28" s="26">
        <f>shipping_compact!F$9</f>
        <v>30</v>
      </c>
      <c r="AC28" s="24">
        <f>shipping_compact!G$9</f>
        <v>0.98</v>
      </c>
      <c r="AD28" s="24">
        <f>shipping_compact!H$9</f>
        <v>0.98</v>
      </c>
      <c r="AE28" s="24">
        <f>shipping_compact!J$9</f>
        <v>0.03</v>
      </c>
      <c r="AF28" s="22">
        <f>shipping_compact!K$9</f>
        <v>6.0006000600060011E-3</v>
      </c>
    </row>
    <row r="29" spans="1:32" x14ac:dyDescent="0.35">
      <c r="A29" t="s">
        <v>381</v>
      </c>
      <c r="B29" t="s">
        <v>354</v>
      </c>
      <c r="C29" t="str">
        <f t="shared" si="0"/>
        <v>h2liq_terminal_NA-USA-SV</v>
      </c>
      <c r="D29" t="s">
        <v>195</v>
      </c>
      <c r="E29" s="22">
        <v>38.350882130000002</v>
      </c>
      <c r="F29" s="22">
        <v>-76.411079920000006</v>
      </c>
      <c r="G29" s="23" t="s">
        <v>129</v>
      </c>
      <c r="H29">
        <f>shipping_compact!$D$3</f>
        <v>938550</v>
      </c>
      <c r="I29">
        <f>shipping_compact!E$3</f>
        <v>6000</v>
      </c>
      <c r="J29">
        <f>shipping_compact!F$3</f>
        <v>30</v>
      </c>
      <c r="K29">
        <f>shipping_compact!G$3</f>
        <v>0.98</v>
      </c>
      <c r="L29" s="24">
        <f>shipping_compact!H$3</f>
        <v>0.74497449744974498</v>
      </c>
      <c r="M29" s="1">
        <f>shipping_compact!J$3</f>
        <v>3.2500000000000001E-2</v>
      </c>
      <c r="N29" s="28">
        <f>shipping_compact!K$3</f>
        <v>0</v>
      </c>
      <c r="O29" s="26">
        <f>shipping_compact!D$7</f>
        <v>14340588.988476301</v>
      </c>
      <c r="P29" s="26">
        <f>shipping_compact!F$7</f>
        <v>30</v>
      </c>
      <c r="Q29" s="26">
        <f>shipping_compact!G$7</f>
        <v>1</v>
      </c>
      <c r="R29" s="24">
        <f>shipping_compact!J$7</f>
        <v>0.04</v>
      </c>
      <c r="S29" s="24">
        <f>shipping_compact!L$7</f>
        <v>0</v>
      </c>
      <c r="T29">
        <f>shipping_compact!D$8</f>
        <v>144364800</v>
      </c>
      <c r="U29">
        <f>shipping_compact!E$8</f>
        <v>4380</v>
      </c>
      <c r="V29">
        <f>shipping_compact!F$8</f>
        <v>25</v>
      </c>
      <c r="W29">
        <f>shipping_compact!G$8</f>
        <v>0.98699999999999999</v>
      </c>
      <c r="X29" s="25">
        <f>shipping_compact!I$8</f>
        <v>2.7777777777777779E-6</v>
      </c>
      <c r="Y29">
        <f>shipping_compact!J$8</f>
        <v>0.04</v>
      </c>
      <c r="Z29">
        <f>shipping_compact!L$8</f>
        <v>3.459434066044673E-4</v>
      </c>
      <c r="AA29" s="26">
        <f>shipping_compact!D$9</f>
        <v>226010</v>
      </c>
      <c r="AB29" s="26">
        <f>shipping_compact!F$9</f>
        <v>30</v>
      </c>
      <c r="AC29" s="24">
        <f>shipping_compact!G$9</f>
        <v>0.98</v>
      </c>
      <c r="AD29" s="24">
        <f>shipping_compact!H$9</f>
        <v>0.98</v>
      </c>
      <c r="AE29" s="24">
        <f>shipping_compact!J$9</f>
        <v>0.03</v>
      </c>
      <c r="AF29" s="22">
        <f>shipping_compact!K$9</f>
        <v>6.0006000600060011E-3</v>
      </c>
    </row>
    <row r="30" spans="1:32" x14ac:dyDescent="0.35">
      <c r="A30" t="s">
        <v>382</v>
      </c>
      <c r="B30" t="s">
        <v>354</v>
      </c>
      <c r="C30" t="str">
        <f t="shared" si="0"/>
        <v>h2liq_terminal_NA-USA-SA</v>
      </c>
      <c r="D30" t="s">
        <v>195</v>
      </c>
      <c r="E30" s="22">
        <v>30.27045948</v>
      </c>
      <c r="F30" s="22">
        <v>-89.391982049999996</v>
      </c>
      <c r="G30" s="23" t="s">
        <v>129</v>
      </c>
      <c r="H30">
        <f>shipping_compact!$D$3</f>
        <v>938550</v>
      </c>
      <c r="I30">
        <f>shipping_compact!E$3</f>
        <v>6000</v>
      </c>
      <c r="J30">
        <f>shipping_compact!F$3</f>
        <v>30</v>
      </c>
      <c r="K30">
        <f>shipping_compact!G$3</f>
        <v>0.98</v>
      </c>
      <c r="L30" s="24">
        <f>shipping_compact!H$3</f>
        <v>0.74497449744974498</v>
      </c>
      <c r="M30" s="1">
        <f>shipping_compact!J$3</f>
        <v>3.2500000000000001E-2</v>
      </c>
      <c r="N30" s="28">
        <f>shipping_compact!K$3</f>
        <v>0</v>
      </c>
      <c r="O30" s="26">
        <f>shipping_compact!D$7</f>
        <v>14340588.988476301</v>
      </c>
      <c r="P30" s="26">
        <f>shipping_compact!F$7</f>
        <v>30</v>
      </c>
      <c r="Q30" s="26">
        <f>shipping_compact!G$7</f>
        <v>1</v>
      </c>
      <c r="R30" s="24">
        <f>shipping_compact!J$7</f>
        <v>0.04</v>
      </c>
      <c r="S30" s="24">
        <f>shipping_compact!L$7</f>
        <v>0</v>
      </c>
      <c r="T30">
        <f>shipping_compact!D$8</f>
        <v>144364800</v>
      </c>
      <c r="U30">
        <f>shipping_compact!E$8</f>
        <v>4380</v>
      </c>
      <c r="V30">
        <f>shipping_compact!F$8</f>
        <v>25</v>
      </c>
      <c r="W30">
        <f>shipping_compact!G$8</f>
        <v>0.98699999999999999</v>
      </c>
      <c r="X30" s="25">
        <f>shipping_compact!I$8</f>
        <v>2.7777777777777779E-6</v>
      </c>
      <c r="Y30">
        <f>shipping_compact!J$8</f>
        <v>0.04</v>
      </c>
      <c r="Z30">
        <f>shipping_compact!L$8</f>
        <v>3.459434066044673E-4</v>
      </c>
      <c r="AA30" s="26">
        <f>shipping_compact!D$9</f>
        <v>226010</v>
      </c>
      <c r="AB30" s="26">
        <f>shipping_compact!F$9</f>
        <v>30</v>
      </c>
      <c r="AC30" s="24">
        <f>shipping_compact!G$9</f>
        <v>0.98</v>
      </c>
      <c r="AD30" s="24">
        <f>shipping_compact!H$9</f>
        <v>0.98</v>
      </c>
      <c r="AE30" s="24">
        <f>shipping_compact!J$9</f>
        <v>0.03</v>
      </c>
      <c r="AF30" s="22">
        <f>shipping_compact!K$9</f>
        <v>6.0006000600060011E-3</v>
      </c>
    </row>
    <row r="31" spans="1:32" x14ac:dyDescent="0.35">
      <c r="A31" t="s">
        <v>380</v>
      </c>
      <c r="B31" t="s">
        <v>354</v>
      </c>
      <c r="C31" t="str">
        <f t="shared" si="0"/>
        <v>h2liq_terminal_NA-USA-CA</v>
      </c>
      <c r="D31" t="s">
        <v>383</v>
      </c>
      <c r="E31" s="22">
        <v>37.805478909999998</v>
      </c>
      <c r="F31" s="22">
        <v>-122.31633100000001</v>
      </c>
      <c r="G31" s="23" t="s">
        <v>129</v>
      </c>
      <c r="H31">
        <f>shipping_compact!$D$3</f>
        <v>938550</v>
      </c>
      <c r="I31">
        <f>shipping_compact!E$3</f>
        <v>6000</v>
      </c>
      <c r="J31">
        <f>shipping_compact!F$3</f>
        <v>30</v>
      </c>
      <c r="K31">
        <f>shipping_compact!G$3</f>
        <v>0.98</v>
      </c>
      <c r="L31" s="24">
        <f>shipping_compact!H$3</f>
        <v>0.74497449744974498</v>
      </c>
      <c r="M31" s="1">
        <f>shipping_compact!J$3</f>
        <v>3.2500000000000001E-2</v>
      </c>
      <c r="N31" s="28">
        <f>shipping_compact!K$3</f>
        <v>0</v>
      </c>
      <c r="O31" s="26">
        <f>shipping_compact!D$7</f>
        <v>14340588.988476301</v>
      </c>
      <c r="P31" s="26">
        <f>shipping_compact!F$7</f>
        <v>30</v>
      </c>
      <c r="Q31" s="26">
        <f>shipping_compact!G$7</f>
        <v>1</v>
      </c>
      <c r="R31" s="24">
        <f>shipping_compact!J$7</f>
        <v>0.04</v>
      </c>
      <c r="S31" s="24">
        <f>shipping_compact!L$7</f>
        <v>0</v>
      </c>
      <c r="T31">
        <f>shipping_compact!D$8</f>
        <v>144364800</v>
      </c>
      <c r="U31">
        <f>shipping_compact!E$8</f>
        <v>4380</v>
      </c>
      <c r="V31">
        <f>shipping_compact!F$8</f>
        <v>25</v>
      </c>
      <c r="W31">
        <f>shipping_compact!G$8</f>
        <v>0.98699999999999999</v>
      </c>
      <c r="X31" s="25">
        <f>shipping_compact!I$8</f>
        <v>2.7777777777777779E-6</v>
      </c>
      <c r="Y31">
        <f>shipping_compact!J$8</f>
        <v>0.04</v>
      </c>
      <c r="Z31">
        <f>shipping_compact!L$8</f>
        <v>3.459434066044673E-4</v>
      </c>
      <c r="AA31" s="26">
        <f>shipping_compact!D$9</f>
        <v>226010</v>
      </c>
      <c r="AB31" s="26">
        <f>shipping_compact!F$9</f>
        <v>30</v>
      </c>
      <c r="AC31" s="24">
        <f>shipping_compact!G$9</f>
        <v>0.98</v>
      </c>
      <c r="AD31" s="24">
        <f>shipping_compact!H$9</f>
        <v>0.98</v>
      </c>
      <c r="AE31" s="24">
        <f>shipping_compact!J$9</f>
        <v>0.03</v>
      </c>
      <c r="AF31" s="22">
        <f>shipping_compact!K$9</f>
        <v>6.0006000600060011E-3</v>
      </c>
    </row>
    <row r="32" spans="1:32" x14ac:dyDescent="0.35">
      <c r="A32" t="s">
        <v>381</v>
      </c>
      <c r="B32" t="s">
        <v>354</v>
      </c>
      <c r="C32" t="str">
        <f t="shared" si="0"/>
        <v>h2liq_terminal_NA-USA-SV</v>
      </c>
      <c r="D32" t="s">
        <v>384</v>
      </c>
      <c r="E32" s="22">
        <v>38.350882130000002</v>
      </c>
      <c r="F32" s="22">
        <v>-76.411079920000006</v>
      </c>
      <c r="G32" s="23" t="s">
        <v>129</v>
      </c>
      <c r="H32">
        <f>shipping_compact!$D$3</f>
        <v>938550</v>
      </c>
      <c r="I32">
        <f>shipping_compact!E$3</f>
        <v>6000</v>
      </c>
      <c r="J32">
        <f>shipping_compact!F$3</f>
        <v>30</v>
      </c>
      <c r="K32">
        <f>shipping_compact!G$3</f>
        <v>0.98</v>
      </c>
      <c r="L32" s="24">
        <f>shipping_compact!H$3</f>
        <v>0.74497449744974498</v>
      </c>
      <c r="M32" s="1">
        <f>shipping_compact!J$3</f>
        <v>3.2500000000000001E-2</v>
      </c>
      <c r="N32" s="28">
        <f>shipping_compact!K$3</f>
        <v>0</v>
      </c>
      <c r="O32" s="26">
        <f>shipping_compact!D$7</f>
        <v>14340588.988476301</v>
      </c>
      <c r="P32" s="26">
        <f>shipping_compact!F$7</f>
        <v>30</v>
      </c>
      <c r="Q32" s="26">
        <f>shipping_compact!G$7</f>
        <v>1</v>
      </c>
      <c r="R32" s="24">
        <f>shipping_compact!J$7</f>
        <v>0.04</v>
      </c>
      <c r="S32" s="24">
        <f>shipping_compact!L$7</f>
        <v>0</v>
      </c>
      <c r="T32">
        <f>shipping_compact!D$8</f>
        <v>144364800</v>
      </c>
      <c r="U32">
        <f>shipping_compact!E$8</f>
        <v>4380</v>
      </c>
      <c r="V32">
        <f>shipping_compact!F$8</f>
        <v>25</v>
      </c>
      <c r="W32">
        <f>shipping_compact!G$8</f>
        <v>0.98699999999999999</v>
      </c>
      <c r="X32" s="25">
        <f>shipping_compact!I$8</f>
        <v>2.7777777777777779E-6</v>
      </c>
      <c r="Y32">
        <f>shipping_compact!J$8</f>
        <v>0.04</v>
      </c>
      <c r="Z32">
        <f>shipping_compact!L$8</f>
        <v>3.459434066044673E-4</v>
      </c>
      <c r="AA32" s="26">
        <f>shipping_compact!D$9</f>
        <v>226010</v>
      </c>
      <c r="AB32" s="26">
        <f>shipping_compact!F$9</f>
        <v>30</v>
      </c>
      <c r="AC32" s="24">
        <f>shipping_compact!G$9</f>
        <v>0.98</v>
      </c>
      <c r="AD32" s="24">
        <f>shipping_compact!H$9</f>
        <v>0.98</v>
      </c>
      <c r="AE32" s="24">
        <f>shipping_compact!J$9</f>
        <v>0.03</v>
      </c>
      <c r="AF32" s="22">
        <f>shipping_compact!K$9</f>
        <v>6.0006000600060011E-3</v>
      </c>
    </row>
    <row r="33" spans="1:32" x14ac:dyDescent="0.35">
      <c r="A33" t="s">
        <v>382</v>
      </c>
      <c r="B33" t="s">
        <v>354</v>
      </c>
      <c r="C33" t="str">
        <f t="shared" si="0"/>
        <v>h2liq_terminal_NA-USA-SA</v>
      </c>
      <c r="D33" t="s">
        <v>385</v>
      </c>
      <c r="E33" s="22">
        <v>30.27045948</v>
      </c>
      <c r="F33" s="22">
        <v>-89.391982049999996</v>
      </c>
      <c r="G33" s="23" t="s">
        <v>129</v>
      </c>
      <c r="H33">
        <f>shipping_compact!$D$3</f>
        <v>938550</v>
      </c>
      <c r="I33">
        <f>shipping_compact!E$3</f>
        <v>6000</v>
      </c>
      <c r="J33">
        <f>shipping_compact!F$3</f>
        <v>30</v>
      </c>
      <c r="K33">
        <f>shipping_compact!G$3</f>
        <v>0.98</v>
      </c>
      <c r="L33" s="24">
        <f>shipping_compact!H$3</f>
        <v>0.74497449744974498</v>
      </c>
      <c r="M33" s="1">
        <f>shipping_compact!J$3</f>
        <v>3.2500000000000001E-2</v>
      </c>
      <c r="N33" s="28">
        <f>shipping_compact!K$3</f>
        <v>0</v>
      </c>
      <c r="O33" s="26">
        <f>shipping_compact!D$7</f>
        <v>14340588.988476301</v>
      </c>
      <c r="P33" s="26">
        <f>shipping_compact!F$7</f>
        <v>30</v>
      </c>
      <c r="Q33" s="26">
        <f>shipping_compact!G$7</f>
        <v>1</v>
      </c>
      <c r="R33" s="24">
        <f>shipping_compact!J$7</f>
        <v>0.04</v>
      </c>
      <c r="S33" s="24">
        <f>shipping_compact!L$7</f>
        <v>0</v>
      </c>
      <c r="T33">
        <f>shipping_compact!D$8</f>
        <v>144364800</v>
      </c>
      <c r="U33">
        <f>shipping_compact!E$8</f>
        <v>4380</v>
      </c>
      <c r="V33">
        <f>shipping_compact!F$8</f>
        <v>25</v>
      </c>
      <c r="W33">
        <f>shipping_compact!G$8</f>
        <v>0.98699999999999999</v>
      </c>
      <c r="X33" s="25">
        <f>shipping_compact!I$8</f>
        <v>2.7777777777777779E-6</v>
      </c>
      <c r="Y33">
        <f>shipping_compact!J$8</f>
        <v>0.04</v>
      </c>
      <c r="Z33">
        <f>shipping_compact!L$8</f>
        <v>3.459434066044673E-4</v>
      </c>
      <c r="AA33" s="26">
        <f>shipping_compact!D$9</f>
        <v>226010</v>
      </c>
      <c r="AB33" s="26">
        <f>shipping_compact!F$9</f>
        <v>30</v>
      </c>
      <c r="AC33" s="24">
        <f>shipping_compact!G$9</f>
        <v>0.98</v>
      </c>
      <c r="AD33" s="24">
        <f>shipping_compact!H$9</f>
        <v>0.98</v>
      </c>
      <c r="AE33" s="24">
        <f>shipping_compact!J$9</f>
        <v>0.03</v>
      </c>
      <c r="AF33" s="22">
        <f>shipping_compact!K$9</f>
        <v>6.0006000600060011E-3</v>
      </c>
    </row>
    <row r="34" spans="1:32" x14ac:dyDescent="0.35">
      <c r="A34" t="s">
        <v>386</v>
      </c>
      <c r="B34" t="s">
        <v>354</v>
      </c>
      <c r="C34" t="str">
        <f t="shared" si="0"/>
        <v>h2liq_terminal_NA-MEX</v>
      </c>
      <c r="D34" t="s">
        <v>184</v>
      </c>
      <c r="E34" s="22">
        <v>18.155675850000002</v>
      </c>
      <c r="F34" s="22">
        <v>-94.536118009999996</v>
      </c>
      <c r="G34" s="23" t="s">
        <v>129</v>
      </c>
      <c r="H34">
        <f>shipping_compact!$D$3</f>
        <v>938550</v>
      </c>
      <c r="I34">
        <f>shipping_compact!E$3</f>
        <v>6000</v>
      </c>
      <c r="J34">
        <f>shipping_compact!F$3</f>
        <v>30</v>
      </c>
      <c r="K34">
        <f>shipping_compact!G$3</f>
        <v>0.98</v>
      </c>
      <c r="L34" s="24">
        <f>shipping_compact!H$3</f>
        <v>0.74497449744974498</v>
      </c>
      <c r="M34" s="1">
        <f>shipping_compact!J$3</f>
        <v>3.2500000000000001E-2</v>
      </c>
      <c r="N34" s="28">
        <f>shipping_compact!K$3</f>
        <v>0</v>
      </c>
      <c r="O34" s="26">
        <f>shipping_compact!D$7</f>
        <v>14340588.988476301</v>
      </c>
      <c r="P34" s="26">
        <f>shipping_compact!F$7</f>
        <v>30</v>
      </c>
      <c r="Q34" s="26">
        <f>shipping_compact!G$7</f>
        <v>1</v>
      </c>
      <c r="R34" s="24">
        <f>shipping_compact!J$7</f>
        <v>0.04</v>
      </c>
      <c r="S34" s="24">
        <f>shipping_compact!L$7</f>
        <v>0</v>
      </c>
      <c r="T34">
        <f>shipping_compact!D$8</f>
        <v>144364800</v>
      </c>
      <c r="U34">
        <f>shipping_compact!E$8</f>
        <v>4380</v>
      </c>
      <c r="V34">
        <f>shipping_compact!F$8</f>
        <v>25</v>
      </c>
      <c r="W34">
        <f>shipping_compact!G$8</f>
        <v>0.98699999999999999</v>
      </c>
      <c r="X34" s="25">
        <f>shipping_compact!I$8</f>
        <v>2.7777777777777779E-6</v>
      </c>
      <c r="Y34">
        <f>shipping_compact!J$8</f>
        <v>0.04</v>
      </c>
      <c r="Z34">
        <f>shipping_compact!L$8</f>
        <v>3.459434066044673E-4</v>
      </c>
      <c r="AA34" s="26">
        <f>shipping_compact!D$9</f>
        <v>226010</v>
      </c>
      <c r="AB34" s="26">
        <f>shipping_compact!F$9</f>
        <v>30</v>
      </c>
      <c r="AC34" s="24">
        <f>shipping_compact!G$9</f>
        <v>0.98</v>
      </c>
      <c r="AD34" s="24">
        <f>shipping_compact!H$9</f>
        <v>0.98</v>
      </c>
      <c r="AE34" s="24">
        <f>shipping_compact!J$9</f>
        <v>0.03</v>
      </c>
      <c r="AF34" s="22">
        <f>shipping_compact!K$9</f>
        <v>6.0006000600060011E-3</v>
      </c>
    </row>
    <row r="35" spans="1:32" x14ac:dyDescent="0.35">
      <c r="A35" t="s">
        <v>387</v>
      </c>
      <c r="B35" t="s">
        <v>354</v>
      </c>
      <c r="C35" t="str">
        <f t="shared" si="0"/>
        <v>h2liq_terminal_NA-NIC</v>
      </c>
      <c r="D35" t="s">
        <v>185</v>
      </c>
      <c r="E35" s="22">
        <v>12.20558819</v>
      </c>
      <c r="F35" s="22">
        <v>-86.761905609999999</v>
      </c>
      <c r="G35" s="23" t="s">
        <v>129</v>
      </c>
      <c r="H35">
        <f>shipping_compact!$D$3</f>
        <v>938550</v>
      </c>
      <c r="I35">
        <f>shipping_compact!E$3</f>
        <v>6000</v>
      </c>
      <c r="J35">
        <f>shipping_compact!F$3</f>
        <v>30</v>
      </c>
      <c r="K35">
        <f>shipping_compact!G$3</f>
        <v>0.98</v>
      </c>
      <c r="L35" s="24">
        <f>shipping_compact!H$3</f>
        <v>0.74497449744974498</v>
      </c>
      <c r="M35" s="1">
        <f>shipping_compact!J$3</f>
        <v>3.2500000000000001E-2</v>
      </c>
      <c r="N35" s="28">
        <f>shipping_compact!K$3</f>
        <v>0</v>
      </c>
      <c r="O35" s="26">
        <f>shipping_compact!D$7</f>
        <v>14340588.988476301</v>
      </c>
      <c r="P35" s="26">
        <f>shipping_compact!F$7</f>
        <v>30</v>
      </c>
      <c r="Q35" s="26">
        <f>shipping_compact!G$7</f>
        <v>1</v>
      </c>
      <c r="R35" s="24">
        <f>shipping_compact!J$7</f>
        <v>0.04</v>
      </c>
      <c r="S35" s="24">
        <f>shipping_compact!L$7</f>
        <v>0</v>
      </c>
      <c r="T35">
        <f>shipping_compact!D$8</f>
        <v>144364800</v>
      </c>
      <c r="U35">
        <f>shipping_compact!E$8</f>
        <v>4380</v>
      </c>
      <c r="V35">
        <f>shipping_compact!F$8</f>
        <v>25</v>
      </c>
      <c r="W35">
        <f>shipping_compact!G$8</f>
        <v>0.98699999999999999</v>
      </c>
      <c r="X35" s="25">
        <f>shipping_compact!I$8</f>
        <v>2.7777777777777779E-6</v>
      </c>
      <c r="Y35">
        <f>shipping_compact!J$8</f>
        <v>0.04</v>
      </c>
      <c r="Z35">
        <f>shipping_compact!L$8</f>
        <v>3.459434066044673E-4</v>
      </c>
      <c r="AA35" s="26">
        <f>shipping_compact!D$9</f>
        <v>226010</v>
      </c>
      <c r="AB35" s="26">
        <f>shipping_compact!F$9</f>
        <v>30</v>
      </c>
      <c r="AC35" s="24">
        <f>shipping_compact!G$9</f>
        <v>0.98</v>
      </c>
      <c r="AD35" s="24">
        <f>shipping_compact!H$9</f>
        <v>0.98</v>
      </c>
      <c r="AE35" s="24">
        <f>shipping_compact!J$9</f>
        <v>0.03</v>
      </c>
      <c r="AF35" s="22">
        <f>shipping_compact!K$9</f>
        <v>6.0006000600060011E-3</v>
      </c>
    </row>
    <row r="36" spans="1:32" x14ac:dyDescent="0.35">
      <c r="A36" t="s">
        <v>388</v>
      </c>
      <c r="B36" t="s">
        <v>354</v>
      </c>
      <c r="C36" t="str">
        <f t="shared" si="0"/>
        <v>h2liq_terminal_NA-DOM</v>
      </c>
      <c r="D36" t="s">
        <v>177</v>
      </c>
      <c r="E36" s="22">
        <v>18.423848960000001</v>
      </c>
      <c r="F36" s="22">
        <v>-69.633278090000005</v>
      </c>
      <c r="G36" s="23" t="s">
        <v>129</v>
      </c>
      <c r="H36">
        <f>shipping_compact!$D$3</f>
        <v>938550</v>
      </c>
      <c r="I36">
        <f>shipping_compact!E$3</f>
        <v>6000</v>
      </c>
      <c r="J36">
        <f>shipping_compact!F$3</f>
        <v>30</v>
      </c>
      <c r="K36">
        <f>shipping_compact!G$3</f>
        <v>0.98</v>
      </c>
      <c r="L36" s="24">
        <f>shipping_compact!H$3</f>
        <v>0.74497449744974498</v>
      </c>
      <c r="M36" s="1">
        <f>shipping_compact!J$3</f>
        <v>3.2500000000000001E-2</v>
      </c>
      <c r="N36" s="28">
        <f>shipping_compact!K$3</f>
        <v>0</v>
      </c>
      <c r="O36" s="26">
        <f>shipping_compact!D$7</f>
        <v>14340588.988476301</v>
      </c>
      <c r="P36" s="26">
        <f>shipping_compact!F$7</f>
        <v>30</v>
      </c>
      <c r="Q36" s="26">
        <f>shipping_compact!G$7</f>
        <v>1</v>
      </c>
      <c r="R36" s="24">
        <f>shipping_compact!J$7</f>
        <v>0.04</v>
      </c>
      <c r="S36" s="24">
        <f>shipping_compact!L$7</f>
        <v>0</v>
      </c>
      <c r="T36">
        <f>shipping_compact!D$8</f>
        <v>144364800</v>
      </c>
      <c r="U36">
        <f>shipping_compact!E$8</f>
        <v>4380</v>
      </c>
      <c r="V36">
        <f>shipping_compact!F$8</f>
        <v>25</v>
      </c>
      <c r="W36">
        <f>shipping_compact!G$8</f>
        <v>0.98699999999999999</v>
      </c>
      <c r="X36" s="25">
        <f>shipping_compact!I$8</f>
        <v>2.7777777777777779E-6</v>
      </c>
      <c r="Y36">
        <f>shipping_compact!J$8</f>
        <v>0.04</v>
      </c>
      <c r="Z36">
        <f>shipping_compact!L$8</f>
        <v>3.459434066044673E-4</v>
      </c>
      <c r="AA36" s="26">
        <f>shipping_compact!D$9</f>
        <v>226010</v>
      </c>
      <c r="AB36" s="26">
        <f>shipping_compact!F$9</f>
        <v>30</v>
      </c>
      <c r="AC36" s="24">
        <f>shipping_compact!G$9</f>
        <v>0.98</v>
      </c>
      <c r="AD36" s="24">
        <f>shipping_compact!H$9</f>
        <v>0.98</v>
      </c>
      <c r="AE36" s="24">
        <f>shipping_compact!J$9</f>
        <v>0.03</v>
      </c>
      <c r="AF36" s="22">
        <f>shipping_compact!K$9</f>
        <v>6.0006000600060011E-3</v>
      </c>
    </row>
    <row r="37" spans="1:32" x14ac:dyDescent="0.35">
      <c r="A37" t="s">
        <v>389</v>
      </c>
      <c r="B37" t="s">
        <v>354</v>
      </c>
      <c r="C37" t="str">
        <f t="shared" si="0"/>
        <v>h2liq_terminal_NA-TTO</v>
      </c>
      <c r="D37" t="s">
        <v>193</v>
      </c>
      <c r="E37" s="22">
        <v>10.183118159999999</v>
      </c>
      <c r="F37" s="22">
        <v>-61.6857033</v>
      </c>
      <c r="G37" s="23" t="s">
        <v>129</v>
      </c>
      <c r="H37">
        <f>shipping_compact!$D$3</f>
        <v>938550</v>
      </c>
      <c r="I37">
        <f>shipping_compact!E$3</f>
        <v>6000</v>
      </c>
      <c r="J37">
        <f>shipping_compact!F$3</f>
        <v>30</v>
      </c>
      <c r="K37">
        <f>shipping_compact!G$3</f>
        <v>0.98</v>
      </c>
      <c r="L37" s="24">
        <f>shipping_compact!H$3</f>
        <v>0.74497449744974498</v>
      </c>
      <c r="M37" s="1">
        <f>shipping_compact!J$3</f>
        <v>3.2500000000000001E-2</v>
      </c>
      <c r="N37" s="28">
        <f>shipping_compact!K$3</f>
        <v>0</v>
      </c>
      <c r="O37" s="26">
        <f>shipping_compact!D$7</f>
        <v>14340588.988476301</v>
      </c>
      <c r="P37" s="26">
        <f>shipping_compact!F$7</f>
        <v>30</v>
      </c>
      <c r="Q37" s="26">
        <f>shipping_compact!G$7</f>
        <v>1</v>
      </c>
      <c r="R37" s="24">
        <f>shipping_compact!J$7</f>
        <v>0.04</v>
      </c>
      <c r="S37" s="24">
        <f>shipping_compact!L$7</f>
        <v>0</v>
      </c>
      <c r="T37">
        <f>shipping_compact!D$8</f>
        <v>144364800</v>
      </c>
      <c r="U37">
        <f>shipping_compact!E$8</f>
        <v>4380</v>
      </c>
      <c r="V37">
        <f>shipping_compact!F$8</f>
        <v>25</v>
      </c>
      <c r="W37">
        <f>shipping_compact!G$8</f>
        <v>0.98699999999999999</v>
      </c>
      <c r="X37" s="25">
        <f>shipping_compact!I$8</f>
        <v>2.7777777777777779E-6</v>
      </c>
      <c r="Y37">
        <f>shipping_compact!J$8</f>
        <v>0.04</v>
      </c>
      <c r="Z37">
        <f>shipping_compact!L$8</f>
        <v>3.459434066044673E-4</v>
      </c>
      <c r="AA37" s="26">
        <f>shipping_compact!D$9</f>
        <v>226010</v>
      </c>
      <c r="AB37" s="26">
        <f>shipping_compact!F$9</f>
        <v>30</v>
      </c>
      <c r="AC37" s="24">
        <f>shipping_compact!G$9</f>
        <v>0.98</v>
      </c>
      <c r="AD37" s="24">
        <f>shipping_compact!H$9</f>
        <v>0.98</v>
      </c>
      <c r="AE37" s="24">
        <f>shipping_compact!J$9</f>
        <v>0.03</v>
      </c>
      <c r="AF37" s="22">
        <f>shipping_compact!K$9</f>
        <v>6.0006000600060011E-3</v>
      </c>
    </row>
    <row r="38" spans="1:32" x14ac:dyDescent="0.35">
      <c r="A38" t="s">
        <v>390</v>
      </c>
      <c r="B38" t="s">
        <v>354</v>
      </c>
      <c r="C38" t="str">
        <f t="shared" si="0"/>
        <v>h2liq_terminal_SA-BRA-SE</v>
      </c>
      <c r="D38" t="s">
        <v>171</v>
      </c>
      <c r="E38" s="22">
        <v>-22.95599094</v>
      </c>
      <c r="F38" s="22">
        <v>-43.05571612</v>
      </c>
      <c r="G38" s="23" t="s">
        <v>129</v>
      </c>
      <c r="H38">
        <f>shipping_compact!$D$3</f>
        <v>938550</v>
      </c>
      <c r="I38">
        <f>shipping_compact!E$3</f>
        <v>6000</v>
      </c>
      <c r="J38">
        <f>shipping_compact!F$3</f>
        <v>30</v>
      </c>
      <c r="K38">
        <f>shipping_compact!G$3</f>
        <v>0.98</v>
      </c>
      <c r="L38" s="24">
        <f>shipping_compact!H$3</f>
        <v>0.74497449744974498</v>
      </c>
      <c r="M38" s="1">
        <f>shipping_compact!J$3</f>
        <v>3.2500000000000001E-2</v>
      </c>
      <c r="N38" s="28">
        <f>shipping_compact!K$3</f>
        <v>0</v>
      </c>
      <c r="O38" s="26">
        <f>shipping_compact!D$7</f>
        <v>14340588.988476301</v>
      </c>
      <c r="P38" s="26">
        <f>shipping_compact!F$7</f>
        <v>30</v>
      </c>
      <c r="Q38" s="26">
        <f>shipping_compact!G$7</f>
        <v>1</v>
      </c>
      <c r="R38" s="24">
        <f>shipping_compact!J$7</f>
        <v>0.04</v>
      </c>
      <c r="S38" s="24">
        <f>shipping_compact!L$7</f>
        <v>0</v>
      </c>
      <c r="T38">
        <f>shipping_compact!D$8</f>
        <v>144364800</v>
      </c>
      <c r="U38">
        <f>shipping_compact!E$8</f>
        <v>4380</v>
      </c>
      <c r="V38">
        <f>shipping_compact!F$8</f>
        <v>25</v>
      </c>
      <c r="W38">
        <f>shipping_compact!G$8</f>
        <v>0.98699999999999999</v>
      </c>
      <c r="X38" s="25">
        <f>shipping_compact!I$8</f>
        <v>2.7777777777777779E-6</v>
      </c>
      <c r="Y38">
        <f>shipping_compact!J$8</f>
        <v>0.04</v>
      </c>
      <c r="Z38">
        <f>shipping_compact!L$8</f>
        <v>3.459434066044673E-4</v>
      </c>
      <c r="AA38" s="26">
        <f>shipping_compact!D$9</f>
        <v>226010</v>
      </c>
      <c r="AB38" s="26">
        <f>shipping_compact!F$9</f>
        <v>30</v>
      </c>
      <c r="AC38" s="24">
        <f>shipping_compact!G$9</f>
        <v>0.98</v>
      </c>
      <c r="AD38" s="24">
        <f>shipping_compact!H$9</f>
        <v>0.98</v>
      </c>
      <c r="AE38" s="24">
        <f>shipping_compact!J$9</f>
        <v>0.03</v>
      </c>
      <c r="AF38" s="22">
        <f>shipping_compact!K$9</f>
        <v>6.0006000600060011E-3</v>
      </c>
    </row>
    <row r="39" spans="1:32" x14ac:dyDescent="0.35">
      <c r="A39" t="s">
        <v>390</v>
      </c>
      <c r="B39" t="s">
        <v>354</v>
      </c>
      <c r="C39" t="str">
        <f t="shared" si="0"/>
        <v>h2liq_terminal_SA-BRA-SE</v>
      </c>
      <c r="D39" t="s">
        <v>391</v>
      </c>
      <c r="E39" s="22">
        <v>-22.95599094</v>
      </c>
      <c r="F39" s="22">
        <v>-43.05571612</v>
      </c>
      <c r="G39" s="23" t="s">
        <v>129</v>
      </c>
      <c r="H39">
        <f>shipping_compact!$D$3</f>
        <v>938550</v>
      </c>
      <c r="I39">
        <f>shipping_compact!E$3</f>
        <v>6000</v>
      </c>
      <c r="J39">
        <f>shipping_compact!F$3</f>
        <v>30</v>
      </c>
      <c r="K39">
        <f>shipping_compact!G$3</f>
        <v>0.98</v>
      </c>
      <c r="L39" s="24">
        <f>shipping_compact!H$3</f>
        <v>0.74497449744974498</v>
      </c>
      <c r="M39" s="1">
        <f>shipping_compact!J$3</f>
        <v>3.2500000000000001E-2</v>
      </c>
      <c r="N39" s="28">
        <f>shipping_compact!K$3</f>
        <v>0</v>
      </c>
      <c r="O39" s="26">
        <f>shipping_compact!D$7</f>
        <v>14340588.988476301</v>
      </c>
      <c r="P39" s="26">
        <f>shipping_compact!F$7</f>
        <v>30</v>
      </c>
      <c r="Q39" s="26">
        <f>shipping_compact!G$7</f>
        <v>1</v>
      </c>
      <c r="R39" s="24">
        <f>shipping_compact!J$7</f>
        <v>0.04</v>
      </c>
      <c r="S39" s="24">
        <f>shipping_compact!L$7</f>
        <v>0</v>
      </c>
      <c r="T39">
        <f>shipping_compact!D$8</f>
        <v>144364800</v>
      </c>
      <c r="U39">
        <f>shipping_compact!E$8</f>
        <v>4380</v>
      </c>
      <c r="V39">
        <f>shipping_compact!F$8</f>
        <v>25</v>
      </c>
      <c r="W39">
        <f>shipping_compact!G$8</f>
        <v>0.98699999999999999</v>
      </c>
      <c r="X39" s="25">
        <f>shipping_compact!I$8</f>
        <v>2.7777777777777779E-6</v>
      </c>
      <c r="Y39">
        <f>shipping_compact!J$8</f>
        <v>0.04</v>
      </c>
      <c r="Z39">
        <f>shipping_compact!L$8</f>
        <v>3.459434066044673E-4</v>
      </c>
      <c r="AA39" s="26">
        <f>shipping_compact!D$9</f>
        <v>226010</v>
      </c>
      <c r="AB39" s="26">
        <f>shipping_compact!F$9</f>
        <v>30</v>
      </c>
      <c r="AC39" s="24">
        <f>shipping_compact!G$9</f>
        <v>0.98</v>
      </c>
      <c r="AD39" s="24">
        <f>shipping_compact!H$9</f>
        <v>0.98</v>
      </c>
      <c r="AE39" s="24">
        <f>shipping_compact!J$9</f>
        <v>0.03</v>
      </c>
      <c r="AF39" s="22">
        <f>shipping_compact!K$9</f>
        <v>6.0006000600060011E-3</v>
      </c>
    </row>
    <row r="40" spans="1:32" x14ac:dyDescent="0.35">
      <c r="A40" t="s">
        <v>392</v>
      </c>
      <c r="B40" t="s">
        <v>354</v>
      </c>
      <c r="C40" t="str">
        <f t="shared" si="0"/>
        <v>h2liq_terminal_SA-ARG</v>
      </c>
      <c r="D40" t="s">
        <v>168</v>
      </c>
      <c r="E40" s="22">
        <v>-38.78344354</v>
      </c>
      <c r="F40" s="22">
        <v>-62.285329240000003</v>
      </c>
      <c r="G40" s="23" t="s">
        <v>129</v>
      </c>
      <c r="H40">
        <f>shipping_compact!$D$3</f>
        <v>938550</v>
      </c>
      <c r="I40">
        <f>shipping_compact!E$3</f>
        <v>6000</v>
      </c>
      <c r="J40">
        <f>shipping_compact!F$3</f>
        <v>30</v>
      </c>
      <c r="K40">
        <f>shipping_compact!G$3</f>
        <v>0.98</v>
      </c>
      <c r="L40" s="24">
        <f>shipping_compact!H$3</f>
        <v>0.74497449744974498</v>
      </c>
      <c r="M40" s="1">
        <f>shipping_compact!J$3</f>
        <v>3.2500000000000001E-2</v>
      </c>
      <c r="N40" s="28">
        <f>shipping_compact!K$3</f>
        <v>0</v>
      </c>
      <c r="O40" s="26">
        <f>shipping_compact!D$7</f>
        <v>14340588.988476301</v>
      </c>
      <c r="P40" s="26">
        <f>shipping_compact!F$7</f>
        <v>30</v>
      </c>
      <c r="Q40" s="26">
        <f>shipping_compact!G$7</f>
        <v>1</v>
      </c>
      <c r="R40" s="24">
        <f>shipping_compact!J$7</f>
        <v>0.04</v>
      </c>
      <c r="S40" s="24">
        <f>shipping_compact!L$7</f>
        <v>0</v>
      </c>
      <c r="T40">
        <f>shipping_compact!D$8</f>
        <v>144364800</v>
      </c>
      <c r="U40">
        <f>shipping_compact!E$8</f>
        <v>4380</v>
      </c>
      <c r="V40">
        <f>shipping_compact!F$8</f>
        <v>25</v>
      </c>
      <c r="W40">
        <f>shipping_compact!G$8</f>
        <v>0.98699999999999999</v>
      </c>
      <c r="X40" s="25">
        <f>shipping_compact!I$8</f>
        <v>2.7777777777777779E-6</v>
      </c>
      <c r="Y40">
        <f>shipping_compact!J$8</f>
        <v>0.04</v>
      </c>
      <c r="Z40">
        <f>shipping_compact!L$8</f>
        <v>3.459434066044673E-4</v>
      </c>
      <c r="AA40" s="26">
        <f>shipping_compact!D$9</f>
        <v>226010</v>
      </c>
      <c r="AB40" s="26">
        <f>shipping_compact!F$9</f>
        <v>30</v>
      </c>
      <c r="AC40" s="24">
        <f>shipping_compact!G$9</f>
        <v>0.98</v>
      </c>
      <c r="AD40" s="24">
        <f>shipping_compact!H$9</f>
        <v>0.98</v>
      </c>
      <c r="AE40" s="24">
        <f>shipping_compact!J$9</f>
        <v>0.03</v>
      </c>
      <c r="AF40" s="22">
        <f>shipping_compact!K$9</f>
        <v>6.0006000600060011E-3</v>
      </c>
    </row>
    <row r="41" spans="1:32" x14ac:dyDescent="0.35">
      <c r="A41" t="s">
        <v>393</v>
      </c>
      <c r="B41" t="s">
        <v>354</v>
      </c>
      <c r="C41" t="str">
        <f t="shared" si="0"/>
        <v>h2liq_terminal_SA-CHL</v>
      </c>
      <c r="D41" t="s">
        <v>173</v>
      </c>
      <c r="E41" s="22">
        <v>-36.744015390000001</v>
      </c>
      <c r="F41" s="22">
        <v>-73.124998890000001</v>
      </c>
      <c r="G41" s="23" t="s">
        <v>129</v>
      </c>
      <c r="H41">
        <f>shipping_compact!$D$3</f>
        <v>938550</v>
      </c>
      <c r="I41">
        <f>shipping_compact!E$3</f>
        <v>6000</v>
      </c>
      <c r="J41">
        <f>shipping_compact!F$3</f>
        <v>30</v>
      </c>
      <c r="K41">
        <f>shipping_compact!G$3</f>
        <v>0.98</v>
      </c>
      <c r="L41" s="24">
        <f>shipping_compact!H$3</f>
        <v>0.74497449744974498</v>
      </c>
      <c r="M41" s="1">
        <f>shipping_compact!J$3</f>
        <v>3.2500000000000001E-2</v>
      </c>
      <c r="N41" s="28">
        <f>shipping_compact!K$3</f>
        <v>0</v>
      </c>
      <c r="O41" s="26">
        <f>shipping_compact!D$7</f>
        <v>14340588.988476301</v>
      </c>
      <c r="P41" s="26">
        <f>shipping_compact!F$7</f>
        <v>30</v>
      </c>
      <c r="Q41" s="26">
        <f>shipping_compact!G$7</f>
        <v>1</v>
      </c>
      <c r="R41" s="24">
        <f>shipping_compact!J$7</f>
        <v>0.04</v>
      </c>
      <c r="S41" s="24">
        <f>shipping_compact!L$7</f>
        <v>0</v>
      </c>
      <c r="T41">
        <f>shipping_compact!D$8</f>
        <v>144364800</v>
      </c>
      <c r="U41">
        <f>shipping_compact!E$8</f>
        <v>4380</v>
      </c>
      <c r="V41">
        <f>shipping_compact!F$8</f>
        <v>25</v>
      </c>
      <c r="W41">
        <f>shipping_compact!G$8</f>
        <v>0.98699999999999999</v>
      </c>
      <c r="X41" s="25">
        <f>shipping_compact!I$8</f>
        <v>2.7777777777777779E-6</v>
      </c>
      <c r="Y41">
        <f>shipping_compact!J$8</f>
        <v>0.04</v>
      </c>
      <c r="Z41">
        <f>shipping_compact!L$8</f>
        <v>3.459434066044673E-4</v>
      </c>
      <c r="AA41" s="26">
        <f>shipping_compact!D$9</f>
        <v>226010</v>
      </c>
      <c r="AB41" s="26">
        <f>shipping_compact!F$9</f>
        <v>30</v>
      </c>
      <c r="AC41" s="24">
        <f>shipping_compact!G$9</f>
        <v>0.98</v>
      </c>
      <c r="AD41" s="24">
        <f>shipping_compact!H$9</f>
        <v>0.98</v>
      </c>
      <c r="AE41" s="24">
        <f>shipping_compact!J$9</f>
        <v>0.03</v>
      </c>
      <c r="AF41" s="22">
        <f>shipping_compact!K$9</f>
        <v>6.0006000600060011E-3</v>
      </c>
    </row>
    <row r="42" spans="1:32" x14ac:dyDescent="0.35">
      <c r="A42" t="s">
        <v>394</v>
      </c>
      <c r="B42" t="s">
        <v>354</v>
      </c>
      <c r="C42" t="str">
        <f t="shared" si="0"/>
        <v>h2liq_terminal_SA-PER</v>
      </c>
      <c r="D42" t="s">
        <v>188</v>
      </c>
      <c r="E42" s="22">
        <v>-11.81733442</v>
      </c>
      <c r="F42" s="22">
        <v>-77.17339115</v>
      </c>
      <c r="G42" s="23" t="s">
        <v>129</v>
      </c>
      <c r="H42">
        <f>shipping_compact!$D$3</f>
        <v>938550</v>
      </c>
      <c r="I42">
        <f>shipping_compact!E$3</f>
        <v>6000</v>
      </c>
      <c r="J42">
        <f>shipping_compact!F$3</f>
        <v>30</v>
      </c>
      <c r="K42">
        <f>shipping_compact!G$3</f>
        <v>0.98</v>
      </c>
      <c r="L42" s="24">
        <f>shipping_compact!H$3</f>
        <v>0.74497449744974498</v>
      </c>
      <c r="M42" s="1">
        <f>shipping_compact!J$3</f>
        <v>3.2500000000000001E-2</v>
      </c>
      <c r="N42" s="28">
        <f>shipping_compact!K$3</f>
        <v>0</v>
      </c>
      <c r="O42" s="26">
        <f>shipping_compact!D$7</f>
        <v>14340588.988476301</v>
      </c>
      <c r="P42" s="26">
        <f>shipping_compact!F$7</f>
        <v>30</v>
      </c>
      <c r="Q42" s="26">
        <f>shipping_compact!G$7</f>
        <v>1</v>
      </c>
      <c r="R42" s="24">
        <f>shipping_compact!J$7</f>
        <v>0.04</v>
      </c>
      <c r="S42" s="24">
        <f>shipping_compact!L$7</f>
        <v>0</v>
      </c>
      <c r="T42">
        <f>shipping_compact!D$8</f>
        <v>144364800</v>
      </c>
      <c r="U42">
        <f>shipping_compact!E$8</f>
        <v>4380</v>
      </c>
      <c r="V42">
        <f>shipping_compact!F$8</f>
        <v>25</v>
      </c>
      <c r="W42">
        <f>shipping_compact!G$8</f>
        <v>0.98699999999999999</v>
      </c>
      <c r="X42" s="25">
        <f>shipping_compact!I$8</f>
        <v>2.7777777777777779E-6</v>
      </c>
      <c r="Y42">
        <f>shipping_compact!J$8</f>
        <v>0.04</v>
      </c>
      <c r="Z42">
        <f>shipping_compact!L$8</f>
        <v>3.459434066044673E-4</v>
      </c>
      <c r="AA42" s="26">
        <f>shipping_compact!D$9</f>
        <v>226010</v>
      </c>
      <c r="AB42" s="26">
        <f>shipping_compact!F$9</f>
        <v>30</v>
      </c>
      <c r="AC42" s="24">
        <f>shipping_compact!G$9</f>
        <v>0.98</v>
      </c>
      <c r="AD42" s="24">
        <f>shipping_compact!H$9</f>
        <v>0.98</v>
      </c>
      <c r="AE42" s="24">
        <f>shipping_compact!J$9</f>
        <v>0.03</v>
      </c>
      <c r="AF42" s="22">
        <f>shipping_compact!K$9</f>
        <v>6.0006000600060011E-3</v>
      </c>
    </row>
    <row r="43" spans="1:32" x14ac:dyDescent="0.35">
      <c r="A43" t="s">
        <v>395</v>
      </c>
      <c r="B43" t="s">
        <v>354</v>
      </c>
      <c r="C43" t="str">
        <f t="shared" si="0"/>
        <v>h2liq_terminal_AF-DZA</v>
      </c>
      <c r="D43" t="s">
        <v>251</v>
      </c>
      <c r="E43" s="22">
        <v>36.885833669999997</v>
      </c>
      <c r="F43" s="22">
        <v>6.9043777879999997</v>
      </c>
      <c r="G43" s="23" t="s">
        <v>129</v>
      </c>
      <c r="H43">
        <f>shipping_compact!$D$3</f>
        <v>938550</v>
      </c>
      <c r="I43">
        <f>shipping_compact!E$3</f>
        <v>6000</v>
      </c>
      <c r="J43">
        <f>shipping_compact!F$3</f>
        <v>30</v>
      </c>
      <c r="K43">
        <f>shipping_compact!G$3</f>
        <v>0.98</v>
      </c>
      <c r="L43" s="24">
        <f>shipping_compact!H$3</f>
        <v>0.74497449744974498</v>
      </c>
      <c r="M43" s="1">
        <f>shipping_compact!J$3</f>
        <v>3.2500000000000001E-2</v>
      </c>
      <c r="N43" s="28">
        <f>shipping_compact!K$3</f>
        <v>0</v>
      </c>
      <c r="O43" s="26">
        <f>shipping_compact!D$7</f>
        <v>14340588.988476301</v>
      </c>
      <c r="P43" s="26">
        <f>shipping_compact!F$7</f>
        <v>30</v>
      </c>
      <c r="Q43" s="26">
        <f>shipping_compact!G$7</f>
        <v>1</v>
      </c>
      <c r="R43" s="24">
        <f>shipping_compact!J$7</f>
        <v>0.04</v>
      </c>
      <c r="S43" s="24">
        <f>shipping_compact!L$7</f>
        <v>0</v>
      </c>
      <c r="T43">
        <f>shipping_compact!D$8</f>
        <v>144364800</v>
      </c>
      <c r="U43">
        <f>shipping_compact!E$8</f>
        <v>4380</v>
      </c>
      <c r="V43">
        <f>shipping_compact!F$8</f>
        <v>25</v>
      </c>
      <c r="W43">
        <f>shipping_compact!G$8</f>
        <v>0.98699999999999999</v>
      </c>
      <c r="X43" s="25">
        <f>shipping_compact!I$8</f>
        <v>2.7777777777777779E-6</v>
      </c>
      <c r="Y43">
        <f>shipping_compact!J$8</f>
        <v>0.04</v>
      </c>
      <c r="Z43">
        <f>shipping_compact!L$8</f>
        <v>3.459434066044673E-4</v>
      </c>
      <c r="AA43" s="26">
        <f>shipping_compact!D$9</f>
        <v>226010</v>
      </c>
      <c r="AB43" s="26">
        <f>shipping_compact!F$9</f>
        <v>30</v>
      </c>
      <c r="AC43" s="24">
        <f>shipping_compact!G$9</f>
        <v>0.98</v>
      </c>
      <c r="AD43" s="24">
        <f>shipping_compact!H$9</f>
        <v>0.98</v>
      </c>
      <c r="AE43" s="24">
        <f>shipping_compact!J$9</f>
        <v>0.03</v>
      </c>
      <c r="AF43" s="22">
        <f>shipping_compact!K$9</f>
        <v>6.0006000600060011E-3</v>
      </c>
    </row>
    <row r="44" spans="1:32" x14ac:dyDescent="0.35">
      <c r="A44" t="s">
        <v>396</v>
      </c>
      <c r="B44" t="s">
        <v>354</v>
      </c>
      <c r="C44" t="str">
        <f t="shared" si="0"/>
        <v>h2liq_terminal_AF-SEN</v>
      </c>
      <c r="D44" t="s">
        <v>276</v>
      </c>
      <c r="E44" s="22">
        <v>14.73659842</v>
      </c>
      <c r="F44" s="22">
        <v>-17.481210319999999</v>
      </c>
      <c r="G44" s="23" t="s">
        <v>129</v>
      </c>
      <c r="H44">
        <f>shipping_compact!$D$3</f>
        <v>938550</v>
      </c>
      <c r="I44">
        <f>shipping_compact!E$3</f>
        <v>6000</v>
      </c>
      <c r="J44">
        <f>shipping_compact!F$3</f>
        <v>30</v>
      </c>
      <c r="K44">
        <f>shipping_compact!G$3</f>
        <v>0.98</v>
      </c>
      <c r="L44" s="24">
        <f>shipping_compact!H$3</f>
        <v>0.74497449744974498</v>
      </c>
      <c r="M44" s="1">
        <f>shipping_compact!J$3</f>
        <v>3.2500000000000001E-2</v>
      </c>
      <c r="N44" s="28">
        <f>shipping_compact!K$3</f>
        <v>0</v>
      </c>
      <c r="O44" s="26">
        <f>shipping_compact!D$7</f>
        <v>14340588.988476301</v>
      </c>
      <c r="P44" s="26">
        <f>shipping_compact!F$7</f>
        <v>30</v>
      </c>
      <c r="Q44" s="26">
        <f>shipping_compact!G$7</f>
        <v>1</v>
      </c>
      <c r="R44" s="24">
        <f>shipping_compact!J$7</f>
        <v>0.04</v>
      </c>
      <c r="S44" s="24">
        <f>shipping_compact!L$7</f>
        <v>0</v>
      </c>
      <c r="T44">
        <f>shipping_compact!D$8</f>
        <v>144364800</v>
      </c>
      <c r="U44">
        <f>shipping_compact!E$8</f>
        <v>4380</v>
      </c>
      <c r="V44">
        <f>shipping_compact!F$8</f>
        <v>25</v>
      </c>
      <c r="W44">
        <f>shipping_compact!G$8</f>
        <v>0.98699999999999999</v>
      </c>
      <c r="X44" s="25">
        <f>shipping_compact!I$8</f>
        <v>2.7777777777777779E-6</v>
      </c>
      <c r="Y44">
        <f>shipping_compact!J$8</f>
        <v>0.04</v>
      </c>
      <c r="Z44">
        <f>shipping_compact!L$8</f>
        <v>3.459434066044673E-4</v>
      </c>
      <c r="AA44" s="26">
        <f>shipping_compact!D$9</f>
        <v>226010</v>
      </c>
      <c r="AB44" s="26">
        <f>shipping_compact!F$9</f>
        <v>30</v>
      </c>
      <c r="AC44" s="24">
        <f>shipping_compact!G$9</f>
        <v>0.98</v>
      </c>
      <c r="AD44" s="24">
        <f>shipping_compact!H$9</f>
        <v>0.98</v>
      </c>
      <c r="AE44" s="24">
        <f>shipping_compact!J$9</f>
        <v>0.03</v>
      </c>
      <c r="AF44" s="22">
        <f>shipping_compact!K$9</f>
        <v>6.0006000600060011E-3</v>
      </c>
    </row>
    <row r="45" spans="1:32" x14ac:dyDescent="0.35">
      <c r="A45" t="s">
        <v>397</v>
      </c>
      <c r="B45" t="s">
        <v>354</v>
      </c>
      <c r="C45" t="str">
        <f t="shared" si="0"/>
        <v>h2liq_terminal_AF-NGA</v>
      </c>
      <c r="D45" t="s">
        <v>273</v>
      </c>
      <c r="E45" s="22">
        <v>6.4294702499999996</v>
      </c>
      <c r="F45" s="22">
        <v>3.4963682029999998</v>
      </c>
      <c r="G45" s="23" t="s">
        <v>129</v>
      </c>
      <c r="H45">
        <f>shipping_compact!$D$3</f>
        <v>938550</v>
      </c>
      <c r="I45">
        <f>shipping_compact!E$3</f>
        <v>6000</v>
      </c>
      <c r="J45">
        <f>shipping_compact!F$3</f>
        <v>30</v>
      </c>
      <c r="K45">
        <f>shipping_compact!G$3</f>
        <v>0.98</v>
      </c>
      <c r="L45" s="24">
        <f>shipping_compact!H$3</f>
        <v>0.74497449744974498</v>
      </c>
      <c r="M45" s="1">
        <f>shipping_compact!J$3</f>
        <v>3.2500000000000001E-2</v>
      </c>
      <c r="N45" s="28">
        <f>shipping_compact!K$3</f>
        <v>0</v>
      </c>
      <c r="O45" s="26">
        <f>shipping_compact!D$7</f>
        <v>14340588.988476301</v>
      </c>
      <c r="P45" s="26">
        <f>shipping_compact!F$7</f>
        <v>30</v>
      </c>
      <c r="Q45" s="26">
        <f>shipping_compact!G$7</f>
        <v>1</v>
      </c>
      <c r="R45" s="24">
        <f>shipping_compact!J$7</f>
        <v>0.04</v>
      </c>
      <c r="S45" s="24">
        <f>shipping_compact!L$7</f>
        <v>0</v>
      </c>
      <c r="T45">
        <f>shipping_compact!D$8</f>
        <v>144364800</v>
      </c>
      <c r="U45">
        <f>shipping_compact!E$8</f>
        <v>4380</v>
      </c>
      <c r="V45">
        <f>shipping_compact!F$8</f>
        <v>25</v>
      </c>
      <c r="W45">
        <f>shipping_compact!G$8</f>
        <v>0.98699999999999999</v>
      </c>
      <c r="X45" s="25">
        <f>shipping_compact!I$8</f>
        <v>2.7777777777777779E-6</v>
      </c>
      <c r="Y45">
        <f>shipping_compact!J$8</f>
        <v>0.04</v>
      </c>
      <c r="Z45">
        <f>shipping_compact!L$8</f>
        <v>3.459434066044673E-4</v>
      </c>
      <c r="AA45" s="26">
        <f>shipping_compact!D$9</f>
        <v>226010</v>
      </c>
      <c r="AB45" s="26">
        <f>shipping_compact!F$9</f>
        <v>30</v>
      </c>
      <c r="AC45" s="24">
        <f>shipping_compact!G$9</f>
        <v>0.98</v>
      </c>
      <c r="AD45" s="24">
        <f>shipping_compact!H$9</f>
        <v>0.98</v>
      </c>
      <c r="AE45" s="24">
        <f>shipping_compact!J$9</f>
        <v>0.03</v>
      </c>
      <c r="AF45" s="22">
        <f>shipping_compact!K$9</f>
        <v>6.0006000600060011E-3</v>
      </c>
    </row>
    <row r="46" spans="1:32" x14ac:dyDescent="0.35">
      <c r="A46" t="s">
        <v>398</v>
      </c>
      <c r="B46" t="s">
        <v>354</v>
      </c>
      <c r="C46" t="str">
        <f t="shared" si="0"/>
        <v>h2liq_terminal_AF-AGO</v>
      </c>
      <c r="D46" t="s">
        <v>240</v>
      </c>
      <c r="E46" s="22">
        <v>-6.118802198</v>
      </c>
      <c r="F46" s="22">
        <v>12.33208099</v>
      </c>
      <c r="G46" s="23" t="s">
        <v>129</v>
      </c>
      <c r="H46">
        <f>shipping_compact!$D$3</f>
        <v>938550</v>
      </c>
      <c r="I46">
        <f>shipping_compact!E$3</f>
        <v>6000</v>
      </c>
      <c r="J46">
        <f>shipping_compact!F$3</f>
        <v>30</v>
      </c>
      <c r="K46">
        <f>shipping_compact!G$3</f>
        <v>0.98</v>
      </c>
      <c r="L46" s="24">
        <f>shipping_compact!H$3</f>
        <v>0.74497449744974498</v>
      </c>
      <c r="M46" s="1">
        <f>shipping_compact!J$3</f>
        <v>3.2500000000000001E-2</v>
      </c>
      <c r="N46" s="28">
        <f>shipping_compact!K$3</f>
        <v>0</v>
      </c>
      <c r="O46" s="26">
        <f>shipping_compact!D$7</f>
        <v>14340588.988476301</v>
      </c>
      <c r="P46" s="26">
        <f>shipping_compact!F$7</f>
        <v>30</v>
      </c>
      <c r="Q46" s="26">
        <f>shipping_compact!G$7</f>
        <v>1</v>
      </c>
      <c r="R46" s="24">
        <f>shipping_compact!J$7</f>
        <v>0.04</v>
      </c>
      <c r="S46" s="24">
        <f>shipping_compact!L$7</f>
        <v>0</v>
      </c>
      <c r="T46">
        <f>shipping_compact!D$8</f>
        <v>144364800</v>
      </c>
      <c r="U46">
        <f>shipping_compact!E$8</f>
        <v>4380</v>
      </c>
      <c r="V46">
        <f>shipping_compact!F$8</f>
        <v>25</v>
      </c>
      <c r="W46">
        <f>shipping_compact!G$8</f>
        <v>0.98699999999999999</v>
      </c>
      <c r="X46" s="25">
        <f>shipping_compact!I$8</f>
        <v>2.7777777777777779E-6</v>
      </c>
      <c r="Y46">
        <f>shipping_compact!J$8</f>
        <v>0.04</v>
      </c>
      <c r="Z46">
        <f>shipping_compact!L$8</f>
        <v>3.459434066044673E-4</v>
      </c>
      <c r="AA46" s="26">
        <f>shipping_compact!D$9</f>
        <v>226010</v>
      </c>
      <c r="AB46" s="26">
        <f>shipping_compact!F$9</f>
        <v>30</v>
      </c>
      <c r="AC46" s="24">
        <f>shipping_compact!G$9</f>
        <v>0.98</v>
      </c>
      <c r="AD46" s="24">
        <f>shipping_compact!H$9</f>
        <v>0.98</v>
      </c>
      <c r="AE46" s="24">
        <f>shipping_compact!J$9</f>
        <v>0.03</v>
      </c>
      <c r="AF46" s="22">
        <f>shipping_compact!K$9</f>
        <v>6.0006000600060011E-3</v>
      </c>
    </row>
    <row r="47" spans="1:32" x14ac:dyDescent="0.35">
      <c r="A47" t="s">
        <v>399</v>
      </c>
      <c r="B47" t="s">
        <v>354</v>
      </c>
      <c r="C47" t="str">
        <f t="shared" si="0"/>
        <v>h2liq_terminal_AF-ZAF</v>
      </c>
      <c r="D47" t="s">
        <v>285</v>
      </c>
      <c r="E47" s="22">
        <v>-33.731549340000001</v>
      </c>
      <c r="F47" s="22">
        <v>18.4458488</v>
      </c>
      <c r="G47" s="23" t="s">
        <v>129</v>
      </c>
      <c r="H47">
        <f>shipping_compact!$D$3</f>
        <v>938550</v>
      </c>
      <c r="I47">
        <f>shipping_compact!E$3</f>
        <v>6000</v>
      </c>
      <c r="J47">
        <f>shipping_compact!F$3</f>
        <v>30</v>
      </c>
      <c r="K47">
        <f>shipping_compact!G$3</f>
        <v>0.98</v>
      </c>
      <c r="L47" s="24">
        <f>shipping_compact!H$3</f>
        <v>0.74497449744974498</v>
      </c>
      <c r="M47" s="1">
        <f>shipping_compact!J$3</f>
        <v>3.2500000000000001E-2</v>
      </c>
      <c r="N47" s="28">
        <f>shipping_compact!K$3</f>
        <v>0</v>
      </c>
      <c r="O47" s="26">
        <f>shipping_compact!D$7</f>
        <v>14340588.988476301</v>
      </c>
      <c r="P47" s="26">
        <f>shipping_compact!F$7</f>
        <v>30</v>
      </c>
      <c r="Q47" s="26">
        <f>shipping_compact!G$7</f>
        <v>1</v>
      </c>
      <c r="R47" s="24">
        <f>shipping_compact!J$7</f>
        <v>0.04</v>
      </c>
      <c r="S47" s="24">
        <f>shipping_compact!L$7</f>
        <v>0</v>
      </c>
      <c r="T47">
        <f>shipping_compact!D$8</f>
        <v>144364800</v>
      </c>
      <c r="U47">
        <f>shipping_compact!E$8</f>
        <v>4380</v>
      </c>
      <c r="V47">
        <f>shipping_compact!F$8</f>
        <v>25</v>
      </c>
      <c r="W47">
        <f>shipping_compact!G$8</f>
        <v>0.98699999999999999</v>
      </c>
      <c r="X47" s="25">
        <f>shipping_compact!I$8</f>
        <v>2.7777777777777779E-6</v>
      </c>
      <c r="Y47">
        <f>shipping_compact!J$8</f>
        <v>0.04</v>
      </c>
      <c r="Z47">
        <f>shipping_compact!L$8</f>
        <v>3.459434066044673E-4</v>
      </c>
      <c r="AA47" s="26">
        <f>shipping_compact!D$9</f>
        <v>226010</v>
      </c>
      <c r="AB47" s="26">
        <f>shipping_compact!F$9</f>
        <v>30</v>
      </c>
      <c r="AC47" s="24">
        <f>shipping_compact!G$9</f>
        <v>0.98</v>
      </c>
      <c r="AD47" s="24">
        <f>shipping_compact!H$9</f>
        <v>0.98</v>
      </c>
      <c r="AE47" s="24">
        <f>shipping_compact!J$9</f>
        <v>0.03</v>
      </c>
      <c r="AF47" s="22">
        <f>shipping_compact!K$9</f>
        <v>6.0006000600060011E-3</v>
      </c>
    </row>
    <row r="48" spans="1:32" x14ac:dyDescent="0.35">
      <c r="A48" t="s">
        <v>400</v>
      </c>
      <c r="B48" t="s">
        <v>354</v>
      </c>
      <c r="C48" t="str">
        <f t="shared" si="0"/>
        <v>h2liq_terminal_AF-TZA</v>
      </c>
      <c r="D48" t="s">
        <v>283</v>
      </c>
      <c r="E48" s="22">
        <v>-9.9692840890000003</v>
      </c>
      <c r="F48" s="22">
        <v>39.704937809999997</v>
      </c>
      <c r="G48" s="23" t="s">
        <v>129</v>
      </c>
      <c r="H48">
        <f>shipping_compact!$D$3</f>
        <v>938550</v>
      </c>
      <c r="I48">
        <f>shipping_compact!E$3</f>
        <v>6000</v>
      </c>
      <c r="J48">
        <f>shipping_compact!F$3</f>
        <v>30</v>
      </c>
      <c r="K48">
        <f>shipping_compact!G$3</f>
        <v>0.98</v>
      </c>
      <c r="L48" s="24">
        <f>shipping_compact!H$3</f>
        <v>0.74497449744974498</v>
      </c>
      <c r="M48" s="1">
        <f>shipping_compact!J$3</f>
        <v>3.2500000000000001E-2</v>
      </c>
      <c r="N48" s="28">
        <f>shipping_compact!K$3</f>
        <v>0</v>
      </c>
      <c r="O48" s="26">
        <f>shipping_compact!D$7</f>
        <v>14340588.988476301</v>
      </c>
      <c r="P48" s="26">
        <f>shipping_compact!F$7</f>
        <v>30</v>
      </c>
      <c r="Q48" s="26">
        <f>shipping_compact!G$7</f>
        <v>1</v>
      </c>
      <c r="R48" s="24">
        <f>shipping_compact!J$7</f>
        <v>0.04</v>
      </c>
      <c r="S48" s="24">
        <f>shipping_compact!L$7</f>
        <v>0</v>
      </c>
      <c r="T48">
        <f>shipping_compact!D$8</f>
        <v>144364800</v>
      </c>
      <c r="U48">
        <f>shipping_compact!E$8</f>
        <v>4380</v>
      </c>
      <c r="V48">
        <f>shipping_compact!F$8</f>
        <v>25</v>
      </c>
      <c r="W48">
        <f>shipping_compact!G$8</f>
        <v>0.98699999999999999</v>
      </c>
      <c r="X48" s="25">
        <f>shipping_compact!I$8</f>
        <v>2.7777777777777779E-6</v>
      </c>
      <c r="Y48">
        <f>shipping_compact!J$8</f>
        <v>0.04</v>
      </c>
      <c r="Z48">
        <f>shipping_compact!L$8</f>
        <v>3.459434066044673E-4</v>
      </c>
      <c r="AA48" s="26">
        <f>shipping_compact!D$9</f>
        <v>226010</v>
      </c>
      <c r="AB48" s="26">
        <f>shipping_compact!F$9</f>
        <v>30</v>
      </c>
      <c r="AC48" s="24">
        <f>shipping_compact!G$9</f>
        <v>0.98</v>
      </c>
      <c r="AD48" s="24">
        <f>shipping_compact!H$9</f>
        <v>0.98</v>
      </c>
      <c r="AE48" s="24">
        <f>shipping_compact!J$9</f>
        <v>0.03</v>
      </c>
      <c r="AF48" s="22">
        <f>shipping_compact!K$9</f>
        <v>6.0006000600060011E-3</v>
      </c>
    </row>
    <row r="49" spans="1:35" x14ac:dyDescent="0.35">
      <c r="A49" t="s">
        <v>401</v>
      </c>
      <c r="B49" t="s">
        <v>354</v>
      </c>
      <c r="C49" t="str">
        <f t="shared" si="0"/>
        <v>h2liq_terminal_AF-EGY</v>
      </c>
      <c r="D49" t="s">
        <v>252</v>
      </c>
      <c r="E49" s="22">
        <v>29.916288659999999</v>
      </c>
      <c r="F49" s="22">
        <v>32.449177310000003</v>
      </c>
      <c r="G49" s="23" t="s">
        <v>129</v>
      </c>
      <c r="H49">
        <f>shipping_compact!$D$3</f>
        <v>938550</v>
      </c>
      <c r="I49">
        <f>shipping_compact!E$3</f>
        <v>6000</v>
      </c>
      <c r="J49">
        <f>shipping_compact!F$3</f>
        <v>30</v>
      </c>
      <c r="K49">
        <f>shipping_compact!G$3</f>
        <v>0.98</v>
      </c>
      <c r="L49" s="24">
        <f>shipping_compact!H$3</f>
        <v>0.74497449744974498</v>
      </c>
      <c r="M49" s="1">
        <f>shipping_compact!J$3</f>
        <v>3.2500000000000001E-2</v>
      </c>
      <c r="N49" s="28">
        <f>shipping_compact!K$3</f>
        <v>0</v>
      </c>
      <c r="O49" s="26">
        <f>shipping_compact!D$7</f>
        <v>14340588.988476301</v>
      </c>
      <c r="P49" s="26">
        <f>shipping_compact!F$7</f>
        <v>30</v>
      </c>
      <c r="Q49" s="26">
        <f>shipping_compact!G$7</f>
        <v>1</v>
      </c>
      <c r="R49" s="24">
        <f>shipping_compact!J$7</f>
        <v>0.04</v>
      </c>
      <c r="S49" s="24">
        <f>shipping_compact!L$7</f>
        <v>0</v>
      </c>
      <c r="T49">
        <f>shipping_compact!D$8</f>
        <v>144364800</v>
      </c>
      <c r="U49">
        <f>shipping_compact!E$8</f>
        <v>4380</v>
      </c>
      <c r="V49">
        <f>shipping_compact!F$8</f>
        <v>25</v>
      </c>
      <c r="W49">
        <f>shipping_compact!G$8</f>
        <v>0.98699999999999999</v>
      </c>
      <c r="X49" s="25">
        <f>shipping_compact!I$8</f>
        <v>2.7777777777777779E-6</v>
      </c>
      <c r="Y49">
        <f>shipping_compact!J$8</f>
        <v>0.04</v>
      </c>
      <c r="Z49">
        <f>shipping_compact!L$8</f>
        <v>3.459434066044673E-4</v>
      </c>
      <c r="AA49" s="26">
        <f>shipping_compact!D$9</f>
        <v>226010</v>
      </c>
      <c r="AB49" s="26">
        <f>shipping_compact!F$9</f>
        <v>30</v>
      </c>
      <c r="AC49" s="24">
        <f>shipping_compact!G$9</f>
        <v>0.98</v>
      </c>
      <c r="AD49" s="24">
        <f>shipping_compact!H$9</f>
        <v>0.98</v>
      </c>
      <c r="AE49" s="24">
        <f>shipping_compact!J$9</f>
        <v>0.03</v>
      </c>
      <c r="AF49" s="22">
        <f>shipping_compact!K$9</f>
        <v>6.0006000600060011E-3</v>
      </c>
    </row>
    <row r="50" spans="1:35" x14ac:dyDescent="0.35">
      <c r="A50" s="39" t="s">
        <v>353</v>
      </c>
      <c r="B50" s="39" t="s">
        <v>520</v>
      </c>
      <c r="C50" s="39" t="str">
        <f t="shared" ref="C50:C97" si="1">_xlfn.CONCAT(B50,"_",A50)</f>
        <v>nh3_terminal_EU-NLD</v>
      </c>
      <c r="D50" s="39" t="s">
        <v>158</v>
      </c>
      <c r="E50" s="40">
        <v>51.948455000000003</v>
      </c>
      <c r="F50" s="40">
        <v>4.1402960000000002</v>
      </c>
      <c r="G50" s="41" t="s">
        <v>129</v>
      </c>
      <c r="H50" s="39">
        <f>shipping_compact!D$12</f>
        <v>5986780</v>
      </c>
      <c r="I50" s="39">
        <f>shipping_compact!E$12</f>
        <v>6000</v>
      </c>
      <c r="J50" s="39">
        <f>shipping_compact!F$12</f>
        <v>30</v>
      </c>
      <c r="K50" s="39">
        <f>shipping_compact!G$12</f>
        <v>0.85</v>
      </c>
      <c r="L50" s="39">
        <f>shipping_compact!H$12</f>
        <v>0.99199999999999999</v>
      </c>
      <c r="M50" s="39">
        <f>shipping_compact!J$12</f>
        <v>0.05</v>
      </c>
      <c r="N50" s="39">
        <f>shipping_compact!K$12</f>
        <v>0.28720000000000001</v>
      </c>
      <c r="O50" s="42">
        <f>shipping_compact!D$16</f>
        <v>293456.89305233641</v>
      </c>
      <c r="P50" s="42">
        <f>shipping_compact!F$16</f>
        <v>30</v>
      </c>
      <c r="Q50" s="42">
        <f>shipping_compact!G$16</f>
        <v>1</v>
      </c>
      <c r="R50" s="56">
        <f>shipping_compact!J$16</f>
        <v>0.04</v>
      </c>
      <c r="S50" s="56">
        <f>shipping_compact!L$16</f>
        <v>0</v>
      </c>
      <c r="T50" s="42">
        <f>shipping_compact!D$17</f>
        <v>6181584.9056603797</v>
      </c>
      <c r="U50" s="42">
        <f>shipping_compact!E$17</f>
        <v>4380</v>
      </c>
      <c r="V50" s="42">
        <f>shipping_compact!F$17</f>
        <v>25</v>
      </c>
      <c r="W50" s="42">
        <f>shipping_compact!G$17</f>
        <v>1</v>
      </c>
      <c r="X50" s="42">
        <f>shipping_compact!I$17</f>
        <v>0</v>
      </c>
      <c r="Y50" s="42">
        <f>shipping_compact!J$17</f>
        <v>0.04</v>
      </c>
      <c r="Z50" s="51">
        <f>shipping_compact!L$17</f>
        <v>2.2101939866396524E-4</v>
      </c>
      <c r="AA50" s="39">
        <f>shipping_compact!D$18</f>
        <v>1418767</v>
      </c>
      <c r="AB50" s="39">
        <f>shipping_compact!F$18</f>
        <v>30</v>
      </c>
      <c r="AC50" s="39">
        <f>shipping_compact!G$18</f>
        <v>0.996</v>
      </c>
      <c r="AD50" s="39">
        <f>shipping_compact!H$18</f>
        <v>0.68500000000000005</v>
      </c>
      <c r="AE50" s="39">
        <f>shipping_compact!J$18</f>
        <v>4.2999999999999997E-2</v>
      </c>
      <c r="AF50" s="39">
        <f>shipping_compact!K$18</f>
        <v>0</v>
      </c>
      <c r="AI50" s="22"/>
    </row>
    <row r="51" spans="1:35" x14ac:dyDescent="0.35">
      <c r="A51" t="s">
        <v>355</v>
      </c>
      <c r="B51" t="s">
        <v>520</v>
      </c>
      <c r="C51" t="str">
        <f t="shared" si="1"/>
        <v>nh3_terminal_EU-PRT</v>
      </c>
      <c r="D51" t="s">
        <v>161</v>
      </c>
      <c r="E51" s="22">
        <v>37.961097819999999</v>
      </c>
      <c r="F51" s="22">
        <v>-8.8786876929999998</v>
      </c>
      <c r="G51" s="23" t="s">
        <v>129</v>
      </c>
      <c r="H51">
        <f>shipping_compact!D$12</f>
        <v>5986780</v>
      </c>
      <c r="I51">
        <f>shipping_compact!E$12</f>
        <v>6000</v>
      </c>
      <c r="J51">
        <f>shipping_compact!F$12</f>
        <v>30</v>
      </c>
      <c r="K51">
        <f>shipping_compact!G$12</f>
        <v>0.85</v>
      </c>
      <c r="L51">
        <f>shipping_compact!H$12</f>
        <v>0.99199999999999999</v>
      </c>
      <c r="M51">
        <f>shipping_compact!J$12</f>
        <v>0.05</v>
      </c>
      <c r="N51">
        <f>shipping_compact!K$12</f>
        <v>0.28720000000000001</v>
      </c>
      <c r="O51" s="26">
        <f>shipping_compact!D$16</f>
        <v>293456.89305233641</v>
      </c>
      <c r="P51" s="26">
        <f>shipping_compact!F$16</f>
        <v>30</v>
      </c>
      <c r="Q51" s="26">
        <f>shipping_compact!G$16</f>
        <v>1</v>
      </c>
      <c r="R51" s="24">
        <f>shipping_compact!J$16</f>
        <v>0.04</v>
      </c>
      <c r="S51" s="24">
        <f>shipping_compact!L$16</f>
        <v>0</v>
      </c>
      <c r="T51" s="26">
        <f>shipping_compact!D$17</f>
        <v>6181584.9056603797</v>
      </c>
      <c r="U51" s="26">
        <f>shipping_compact!E$17</f>
        <v>4380</v>
      </c>
      <c r="V51" s="26">
        <f>shipping_compact!F$17</f>
        <v>25</v>
      </c>
      <c r="W51" s="26">
        <f>shipping_compact!G$17</f>
        <v>1</v>
      </c>
      <c r="X51" s="26">
        <f>shipping_compact!I$17</f>
        <v>0</v>
      </c>
      <c r="Y51" s="26">
        <f>shipping_compact!J$17</f>
        <v>0.04</v>
      </c>
      <c r="Z51" s="52">
        <f>shipping_compact!L$17</f>
        <v>2.2101939866396524E-4</v>
      </c>
      <c r="AA51">
        <f>shipping_compact!D$18</f>
        <v>1418767</v>
      </c>
      <c r="AB51">
        <f>shipping_compact!F$18</f>
        <v>30</v>
      </c>
      <c r="AC51">
        <f>shipping_compact!G$18</f>
        <v>0.996</v>
      </c>
      <c r="AD51">
        <f>shipping_compact!H$18</f>
        <v>0.68500000000000005</v>
      </c>
      <c r="AE51">
        <f>shipping_compact!J$18</f>
        <v>4.2999999999999997E-2</v>
      </c>
      <c r="AF51">
        <f>shipping_compact!K$18</f>
        <v>0</v>
      </c>
    </row>
    <row r="52" spans="1:35" x14ac:dyDescent="0.35">
      <c r="A52" t="s">
        <v>356</v>
      </c>
      <c r="B52" t="s">
        <v>520</v>
      </c>
      <c r="C52" t="str">
        <f t="shared" si="1"/>
        <v>nh3_terminal_EU-ESP</v>
      </c>
      <c r="D52" t="s">
        <v>140</v>
      </c>
      <c r="E52" s="22">
        <v>39.463713490000004</v>
      </c>
      <c r="F52" s="22">
        <v>-0.358819791</v>
      </c>
      <c r="G52" s="23" t="s">
        <v>129</v>
      </c>
      <c r="H52">
        <f>shipping_compact!D$12</f>
        <v>5986780</v>
      </c>
      <c r="I52">
        <f>shipping_compact!E$12</f>
        <v>6000</v>
      </c>
      <c r="J52">
        <f>shipping_compact!F$12</f>
        <v>30</v>
      </c>
      <c r="K52">
        <f>shipping_compact!G$12</f>
        <v>0.85</v>
      </c>
      <c r="L52">
        <f>shipping_compact!H$12</f>
        <v>0.99199999999999999</v>
      </c>
      <c r="M52">
        <f>shipping_compact!J$12</f>
        <v>0.05</v>
      </c>
      <c r="N52">
        <f>shipping_compact!K$12</f>
        <v>0.28720000000000001</v>
      </c>
      <c r="O52" s="26">
        <f>shipping_compact!D$16</f>
        <v>293456.89305233641</v>
      </c>
      <c r="P52" s="26">
        <f>shipping_compact!F$16</f>
        <v>30</v>
      </c>
      <c r="Q52" s="26">
        <f>shipping_compact!G$16</f>
        <v>1</v>
      </c>
      <c r="R52" s="24">
        <f>shipping_compact!J$16</f>
        <v>0.04</v>
      </c>
      <c r="S52" s="24">
        <f>shipping_compact!L$16</f>
        <v>0</v>
      </c>
      <c r="T52" s="26">
        <f>shipping_compact!D$17</f>
        <v>6181584.9056603797</v>
      </c>
      <c r="U52" s="26">
        <f>shipping_compact!E$17</f>
        <v>4380</v>
      </c>
      <c r="V52" s="26">
        <f>shipping_compact!F$17</f>
        <v>25</v>
      </c>
      <c r="W52" s="26">
        <f>shipping_compact!G$17</f>
        <v>1</v>
      </c>
      <c r="X52" s="26">
        <f>shipping_compact!I$17</f>
        <v>0</v>
      </c>
      <c r="Y52" s="26">
        <f>shipping_compact!J$17</f>
        <v>0.04</v>
      </c>
      <c r="Z52" s="52">
        <f>shipping_compact!L$17</f>
        <v>2.2101939866396524E-4</v>
      </c>
      <c r="AA52">
        <f>shipping_compact!D$18</f>
        <v>1418767</v>
      </c>
      <c r="AB52">
        <f>shipping_compact!F$18</f>
        <v>30</v>
      </c>
      <c r="AC52">
        <f>shipping_compact!G$18</f>
        <v>0.996</v>
      </c>
      <c r="AD52">
        <f>shipping_compact!H$18</f>
        <v>0.68500000000000005</v>
      </c>
      <c r="AE52">
        <f>shipping_compact!J$18</f>
        <v>4.2999999999999997E-2</v>
      </c>
      <c r="AF52">
        <f>shipping_compact!K$18</f>
        <v>0</v>
      </c>
    </row>
    <row r="53" spans="1:35" x14ac:dyDescent="0.35">
      <c r="A53" t="s">
        <v>357</v>
      </c>
      <c r="B53" t="s">
        <v>520</v>
      </c>
      <c r="C53" t="str">
        <f t="shared" si="1"/>
        <v>nh3_terminal_EU-ISL</v>
      </c>
      <c r="D53" t="s">
        <v>150</v>
      </c>
      <c r="E53" s="22">
        <v>64.094857875262505</v>
      </c>
      <c r="F53" s="22">
        <v>-21.853528070301</v>
      </c>
      <c r="G53" s="23" t="s">
        <v>129</v>
      </c>
      <c r="H53">
        <f>shipping_compact!D$12</f>
        <v>5986780</v>
      </c>
      <c r="I53">
        <f>shipping_compact!E$12</f>
        <v>6000</v>
      </c>
      <c r="J53">
        <f>shipping_compact!F$12</f>
        <v>30</v>
      </c>
      <c r="K53">
        <f>shipping_compact!G$12</f>
        <v>0.85</v>
      </c>
      <c r="L53">
        <f>shipping_compact!H$12</f>
        <v>0.99199999999999999</v>
      </c>
      <c r="M53">
        <f>shipping_compact!J$12</f>
        <v>0.05</v>
      </c>
      <c r="N53">
        <f>shipping_compact!K$12</f>
        <v>0.28720000000000001</v>
      </c>
      <c r="O53" s="26">
        <f>shipping_compact!D$16</f>
        <v>293456.89305233641</v>
      </c>
      <c r="P53" s="26">
        <f>shipping_compact!F$16</f>
        <v>30</v>
      </c>
      <c r="Q53" s="26">
        <f>shipping_compact!G$16</f>
        <v>1</v>
      </c>
      <c r="R53" s="24">
        <f>shipping_compact!J$16</f>
        <v>0.04</v>
      </c>
      <c r="S53" s="24">
        <f>shipping_compact!L$16</f>
        <v>0</v>
      </c>
      <c r="T53" s="26">
        <f>shipping_compact!D$17</f>
        <v>6181584.9056603797</v>
      </c>
      <c r="U53" s="26">
        <f>shipping_compact!E$17</f>
        <v>4380</v>
      </c>
      <c r="V53" s="26">
        <f>shipping_compact!F$17</f>
        <v>25</v>
      </c>
      <c r="W53" s="26">
        <f>shipping_compact!G$17</f>
        <v>1</v>
      </c>
      <c r="X53" s="26">
        <f>shipping_compact!I$17</f>
        <v>0</v>
      </c>
      <c r="Y53" s="26">
        <f>shipping_compact!J$17</f>
        <v>0.04</v>
      </c>
      <c r="Z53" s="52">
        <f>shipping_compact!L$17</f>
        <v>2.2101939866396524E-4</v>
      </c>
      <c r="AA53">
        <f>shipping_compact!D$18</f>
        <v>1418767</v>
      </c>
      <c r="AB53">
        <f>shipping_compact!F$18</f>
        <v>30</v>
      </c>
      <c r="AC53">
        <f>shipping_compact!G$18</f>
        <v>0.996</v>
      </c>
      <c r="AD53">
        <f>shipping_compact!H$18</f>
        <v>0.68500000000000005</v>
      </c>
      <c r="AE53">
        <f>shipping_compact!J$18</f>
        <v>4.2999999999999997E-2</v>
      </c>
      <c r="AF53">
        <f>shipping_compact!K$18</f>
        <v>0</v>
      </c>
    </row>
    <row r="54" spans="1:35" x14ac:dyDescent="0.35">
      <c r="A54" t="s">
        <v>358</v>
      </c>
      <c r="B54" t="s">
        <v>520</v>
      </c>
      <c r="C54" t="str">
        <f t="shared" si="1"/>
        <v>nh3_terminal_EU-ITA4</v>
      </c>
      <c r="D54" t="s">
        <v>301</v>
      </c>
      <c r="E54" s="22">
        <v>45.205817279999998</v>
      </c>
      <c r="F54" s="22">
        <v>12.29365557</v>
      </c>
      <c r="G54" s="23" t="s">
        <v>129</v>
      </c>
      <c r="H54">
        <f>shipping_compact!D$12</f>
        <v>5986780</v>
      </c>
      <c r="I54">
        <f>shipping_compact!E$12</f>
        <v>6000</v>
      </c>
      <c r="J54">
        <f>shipping_compact!F$12</f>
        <v>30</v>
      </c>
      <c r="K54">
        <f>shipping_compact!G$12</f>
        <v>0.85</v>
      </c>
      <c r="L54">
        <f>shipping_compact!H$12</f>
        <v>0.99199999999999999</v>
      </c>
      <c r="M54">
        <f>shipping_compact!J$12</f>
        <v>0.05</v>
      </c>
      <c r="N54">
        <f>shipping_compact!K$12</f>
        <v>0.28720000000000001</v>
      </c>
      <c r="O54" s="26">
        <f>shipping_compact!D$16</f>
        <v>293456.89305233641</v>
      </c>
      <c r="P54" s="26">
        <f>shipping_compact!F$16</f>
        <v>30</v>
      </c>
      <c r="Q54" s="26">
        <f>shipping_compact!G$16</f>
        <v>1</v>
      </c>
      <c r="R54" s="24">
        <f>shipping_compact!J$16</f>
        <v>0.04</v>
      </c>
      <c r="S54" s="24">
        <f>shipping_compact!L$16</f>
        <v>0</v>
      </c>
      <c r="T54" s="26">
        <f>shipping_compact!D$17</f>
        <v>6181584.9056603797</v>
      </c>
      <c r="U54" s="26">
        <f>shipping_compact!E$17</f>
        <v>4380</v>
      </c>
      <c r="V54" s="26">
        <f>shipping_compact!F$17</f>
        <v>25</v>
      </c>
      <c r="W54" s="26">
        <f>shipping_compact!G$17</f>
        <v>1</v>
      </c>
      <c r="X54" s="26">
        <f>shipping_compact!I$17</f>
        <v>0</v>
      </c>
      <c r="Y54" s="26">
        <f>shipping_compact!J$17</f>
        <v>0.04</v>
      </c>
      <c r="Z54" s="52">
        <f>shipping_compact!L$17</f>
        <v>2.2101939866396524E-4</v>
      </c>
      <c r="AA54">
        <f>shipping_compact!D$18</f>
        <v>1418767</v>
      </c>
      <c r="AB54">
        <f>shipping_compact!F$18</f>
        <v>30</v>
      </c>
      <c r="AC54">
        <f>shipping_compact!G$18</f>
        <v>0.996</v>
      </c>
      <c r="AD54">
        <f>shipping_compact!H$18</f>
        <v>0.68500000000000005</v>
      </c>
      <c r="AE54">
        <f>shipping_compact!J$18</f>
        <v>4.2999999999999997E-2</v>
      </c>
      <c r="AF54">
        <f>shipping_compact!K$18</f>
        <v>0</v>
      </c>
    </row>
    <row r="55" spans="1:35" x14ac:dyDescent="0.35">
      <c r="A55" t="s">
        <v>359</v>
      </c>
      <c r="B55" t="s">
        <v>520</v>
      </c>
      <c r="C55" t="str">
        <f t="shared" si="1"/>
        <v>nh3_terminal_EU-ITA</v>
      </c>
      <c r="D55" t="s">
        <v>151</v>
      </c>
      <c r="E55" s="22">
        <v>45.205817279999998</v>
      </c>
      <c r="F55" s="22">
        <v>12.29365557</v>
      </c>
      <c r="G55" s="23" t="s">
        <v>129</v>
      </c>
      <c r="H55">
        <f>shipping_compact!D$12</f>
        <v>5986780</v>
      </c>
      <c r="I55">
        <f>shipping_compact!E$12</f>
        <v>6000</v>
      </c>
      <c r="J55">
        <f>shipping_compact!F$12</f>
        <v>30</v>
      </c>
      <c r="K55">
        <f>shipping_compact!G$12</f>
        <v>0.85</v>
      </c>
      <c r="L55">
        <f>shipping_compact!H$12</f>
        <v>0.99199999999999999</v>
      </c>
      <c r="M55">
        <f>shipping_compact!J$12</f>
        <v>0.05</v>
      </c>
      <c r="N55">
        <f>shipping_compact!K$12</f>
        <v>0.28720000000000001</v>
      </c>
      <c r="O55" s="26">
        <f>shipping_compact!D$16</f>
        <v>293456.89305233641</v>
      </c>
      <c r="P55" s="26">
        <f>shipping_compact!F$16</f>
        <v>30</v>
      </c>
      <c r="Q55" s="26">
        <f>shipping_compact!G$16</f>
        <v>1</v>
      </c>
      <c r="R55" s="24">
        <f>shipping_compact!J$16</f>
        <v>0.04</v>
      </c>
      <c r="S55" s="24">
        <f>shipping_compact!L$16</f>
        <v>0</v>
      </c>
      <c r="T55" s="26">
        <f>shipping_compact!D$17</f>
        <v>6181584.9056603797</v>
      </c>
      <c r="U55" s="26">
        <f>shipping_compact!E$17</f>
        <v>4380</v>
      </c>
      <c r="V55" s="26">
        <f>shipping_compact!F$17</f>
        <v>25</v>
      </c>
      <c r="W55" s="26">
        <f>shipping_compact!G$17</f>
        <v>1</v>
      </c>
      <c r="X55" s="26">
        <f>shipping_compact!I$17</f>
        <v>0</v>
      </c>
      <c r="Y55" s="26">
        <f>shipping_compact!J$17</f>
        <v>0.04</v>
      </c>
      <c r="Z55" s="52">
        <f>shipping_compact!L$17</f>
        <v>2.2101939866396524E-4</v>
      </c>
      <c r="AA55">
        <f>shipping_compact!D$18</f>
        <v>1418767</v>
      </c>
      <c r="AB55">
        <f>shipping_compact!F$18</f>
        <v>30</v>
      </c>
      <c r="AC55">
        <f>shipping_compact!G$18</f>
        <v>0.996</v>
      </c>
      <c r="AD55">
        <f>shipping_compact!H$18</f>
        <v>0.68500000000000005</v>
      </c>
      <c r="AE55">
        <f>shipping_compact!J$18</f>
        <v>4.2999999999999997E-2</v>
      </c>
      <c r="AF55">
        <f>shipping_compact!K$18</f>
        <v>0</v>
      </c>
    </row>
    <row r="56" spans="1:35" x14ac:dyDescent="0.35">
      <c r="A56" t="s">
        <v>360</v>
      </c>
      <c r="B56" t="s">
        <v>520</v>
      </c>
      <c r="C56" t="str">
        <f t="shared" si="1"/>
        <v>nh3_terminal_AS-TUR</v>
      </c>
      <c r="D56" t="s">
        <v>235</v>
      </c>
      <c r="E56" s="22">
        <v>36.825940789999997</v>
      </c>
      <c r="F56" s="22">
        <v>36.177898030000001</v>
      </c>
      <c r="G56" s="23" t="s">
        <v>129</v>
      </c>
      <c r="H56">
        <f>shipping_compact!D$12</f>
        <v>5986780</v>
      </c>
      <c r="I56">
        <f>shipping_compact!E$12</f>
        <v>6000</v>
      </c>
      <c r="J56">
        <f>shipping_compact!F$12</f>
        <v>30</v>
      </c>
      <c r="K56">
        <f>shipping_compact!G$12</f>
        <v>0.85</v>
      </c>
      <c r="L56">
        <f>shipping_compact!H$12</f>
        <v>0.99199999999999999</v>
      </c>
      <c r="M56">
        <f>shipping_compact!J$12</f>
        <v>0.05</v>
      </c>
      <c r="N56">
        <f>shipping_compact!K$12</f>
        <v>0.28720000000000001</v>
      </c>
      <c r="O56" s="26">
        <f>shipping_compact!D$16</f>
        <v>293456.89305233641</v>
      </c>
      <c r="P56" s="26">
        <f>shipping_compact!F$16</f>
        <v>30</v>
      </c>
      <c r="Q56" s="26">
        <f>shipping_compact!G$16</f>
        <v>1</v>
      </c>
      <c r="R56" s="24">
        <f>shipping_compact!J$16</f>
        <v>0.04</v>
      </c>
      <c r="S56" s="24">
        <f>shipping_compact!L$16</f>
        <v>0</v>
      </c>
      <c r="T56" s="26">
        <f>shipping_compact!D$17</f>
        <v>6181584.9056603797</v>
      </c>
      <c r="U56" s="26">
        <f>shipping_compact!E$17</f>
        <v>4380</v>
      </c>
      <c r="V56" s="26">
        <f>shipping_compact!F$17</f>
        <v>25</v>
      </c>
      <c r="W56" s="26">
        <f>shipping_compact!G$17</f>
        <v>1</v>
      </c>
      <c r="X56" s="26">
        <f>shipping_compact!I$17</f>
        <v>0</v>
      </c>
      <c r="Y56" s="26">
        <f>shipping_compact!J$17</f>
        <v>0.04</v>
      </c>
      <c r="Z56" s="52">
        <f>shipping_compact!L$17</f>
        <v>2.2101939866396524E-4</v>
      </c>
      <c r="AA56">
        <f>shipping_compact!D$18</f>
        <v>1418767</v>
      </c>
      <c r="AB56">
        <f>shipping_compact!F$18</f>
        <v>30</v>
      </c>
      <c r="AC56">
        <f>shipping_compact!G$18</f>
        <v>0.996</v>
      </c>
      <c r="AD56">
        <f>shipping_compact!H$18</f>
        <v>0.68500000000000005</v>
      </c>
      <c r="AE56">
        <f>shipping_compact!J$18</f>
        <v>4.2999999999999997E-2</v>
      </c>
      <c r="AF56">
        <f>shipping_compact!K$18</f>
        <v>0</v>
      </c>
    </row>
    <row r="57" spans="1:35" x14ac:dyDescent="0.35">
      <c r="A57" t="s">
        <v>361</v>
      </c>
      <c r="B57" t="s">
        <v>520</v>
      </c>
      <c r="C57" t="str">
        <f t="shared" si="1"/>
        <v>nh3_terminal_EU-SWE3</v>
      </c>
      <c r="D57" t="s">
        <v>313</v>
      </c>
      <c r="E57" s="22">
        <v>58.913024630000002</v>
      </c>
      <c r="F57" s="22">
        <v>17.96051026</v>
      </c>
      <c r="G57" s="23" t="s">
        <v>129</v>
      </c>
      <c r="H57">
        <f>shipping_compact!D$12</f>
        <v>5986780</v>
      </c>
      <c r="I57">
        <f>shipping_compact!E$12</f>
        <v>6000</v>
      </c>
      <c r="J57">
        <f>shipping_compact!F$12</f>
        <v>30</v>
      </c>
      <c r="K57">
        <f>shipping_compact!G$12</f>
        <v>0.85</v>
      </c>
      <c r="L57">
        <f>shipping_compact!H$12</f>
        <v>0.99199999999999999</v>
      </c>
      <c r="M57">
        <f>shipping_compact!J$12</f>
        <v>0.05</v>
      </c>
      <c r="N57">
        <f>shipping_compact!K$12</f>
        <v>0.28720000000000001</v>
      </c>
      <c r="O57" s="26">
        <f>shipping_compact!D$16</f>
        <v>293456.89305233641</v>
      </c>
      <c r="P57" s="26">
        <f>shipping_compact!F$16</f>
        <v>30</v>
      </c>
      <c r="Q57" s="26">
        <f>shipping_compact!G$16</f>
        <v>1</v>
      </c>
      <c r="R57" s="24">
        <f>shipping_compact!J$16</f>
        <v>0.04</v>
      </c>
      <c r="S57" s="24">
        <f>shipping_compact!L$16</f>
        <v>0</v>
      </c>
      <c r="T57" s="26">
        <f>shipping_compact!D$17</f>
        <v>6181584.9056603797</v>
      </c>
      <c r="U57" s="26">
        <f>shipping_compact!E$17</f>
        <v>4380</v>
      </c>
      <c r="V57" s="26">
        <f>shipping_compact!F$17</f>
        <v>25</v>
      </c>
      <c r="W57" s="26">
        <f>shipping_compact!G$17</f>
        <v>1</v>
      </c>
      <c r="X57" s="26">
        <f>shipping_compact!I$17</f>
        <v>0</v>
      </c>
      <c r="Y57" s="26">
        <f>shipping_compact!J$17</f>
        <v>0.04</v>
      </c>
      <c r="Z57" s="52">
        <f>shipping_compact!L$17</f>
        <v>2.2101939866396524E-4</v>
      </c>
      <c r="AA57">
        <f>shipping_compact!D$18</f>
        <v>1418767</v>
      </c>
      <c r="AB57">
        <f>shipping_compact!F$18</f>
        <v>30</v>
      </c>
      <c r="AC57">
        <f>shipping_compact!G$18</f>
        <v>0.996</v>
      </c>
      <c r="AD57">
        <f>shipping_compact!H$18</f>
        <v>0.68500000000000005</v>
      </c>
      <c r="AE57">
        <f>shipping_compact!J$18</f>
        <v>4.2999999999999997E-2</v>
      </c>
      <c r="AF57">
        <f>shipping_compact!K$18</f>
        <v>0</v>
      </c>
    </row>
    <row r="58" spans="1:35" x14ac:dyDescent="0.35">
      <c r="A58" t="s">
        <v>362</v>
      </c>
      <c r="B58" t="s">
        <v>520</v>
      </c>
      <c r="C58" t="str">
        <f t="shared" si="1"/>
        <v>nh3_terminal_EU-SWE</v>
      </c>
      <c r="D58" t="s">
        <v>166</v>
      </c>
      <c r="E58" s="22">
        <v>58.913024630000002</v>
      </c>
      <c r="F58" s="22">
        <v>17.96051026</v>
      </c>
      <c r="G58" s="23" t="s">
        <v>129</v>
      </c>
      <c r="H58">
        <f>shipping_compact!D$12</f>
        <v>5986780</v>
      </c>
      <c r="I58">
        <f>shipping_compact!E$12</f>
        <v>6000</v>
      </c>
      <c r="J58">
        <f>shipping_compact!F$12</f>
        <v>30</v>
      </c>
      <c r="K58">
        <f>shipping_compact!G$12</f>
        <v>0.85</v>
      </c>
      <c r="L58">
        <f>shipping_compact!H$12</f>
        <v>0.99199999999999999</v>
      </c>
      <c r="M58">
        <f>shipping_compact!J$12</f>
        <v>0.05</v>
      </c>
      <c r="N58">
        <f>shipping_compact!K$12</f>
        <v>0.28720000000000001</v>
      </c>
      <c r="O58" s="26">
        <f>shipping_compact!D$16</f>
        <v>293456.89305233641</v>
      </c>
      <c r="P58" s="26">
        <f>shipping_compact!F$16</f>
        <v>30</v>
      </c>
      <c r="Q58" s="26">
        <f>shipping_compact!G$16</f>
        <v>1</v>
      </c>
      <c r="R58" s="24">
        <f>shipping_compact!J$16</f>
        <v>0.04</v>
      </c>
      <c r="S58" s="24">
        <f>shipping_compact!L$16</f>
        <v>0</v>
      </c>
      <c r="T58" s="26">
        <f>shipping_compact!D$17</f>
        <v>6181584.9056603797</v>
      </c>
      <c r="U58" s="26">
        <f>shipping_compact!E$17</f>
        <v>4380</v>
      </c>
      <c r="V58" s="26">
        <f>shipping_compact!F$17</f>
        <v>25</v>
      </c>
      <c r="W58" s="26">
        <f>shipping_compact!G$17</f>
        <v>1</v>
      </c>
      <c r="X58" s="26">
        <f>shipping_compact!I$17</f>
        <v>0</v>
      </c>
      <c r="Y58" s="26">
        <f>shipping_compact!J$17</f>
        <v>0.04</v>
      </c>
      <c r="Z58" s="52">
        <f>shipping_compact!L$17</f>
        <v>2.2101939866396524E-4</v>
      </c>
      <c r="AA58">
        <f>shipping_compact!D$18</f>
        <v>1418767</v>
      </c>
      <c r="AB58">
        <f>shipping_compact!F$18</f>
        <v>30</v>
      </c>
      <c r="AC58">
        <f>shipping_compact!G$18</f>
        <v>0.996</v>
      </c>
      <c r="AD58">
        <f>shipping_compact!H$18</f>
        <v>0.68500000000000005</v>
      </c>
      <c r="AE58">
        <f>shipping_compact!J$18</f>
        <v>4.2999999999999997E-2</v>
      </c>
      <c r="AF58">
        <f>shipping_compact!K$18</f>
        <v>0</v>
      </c>
    </row>
    <row r="59" spans="1:35" x14ac:dyDescent="0.35">
      <c r="A59" t="s">
        <v>363</v>
      </c>
      <c r="B59" t="s">
        <v>520</v>
      </c>
      <c r="C59" t="str">
        <f t="shared" si="1"/>
        <v>nh3_terminal_EU-GBR</v>
      </c>
      <c r="D59" t="s">
        <v>144</v>
      </c>
      <c r="E59" s="22">
        <v>51.708290169999998</v>
      </c>
      <c r="F59" s="22">
        <v>-5.0646297740000001</v>
      </c>
      <c r="G59" s="23" t="s">
        <v>129</v>
      </c>
      <c r="H59">
        <f>shipping_compact!D$12</f>
        <v>5986780</v>
      </c>
      <c r="I59">
        <f>shipping_compact!E$12</f>
        <v>6000</v>
      </c>
      <c r="J59">
        <f>shipping_compact!F$12</f>
        <v>30</v>
      </c>
      <c r="K59">
        <f>shipping_compact!G$12</f>
        <v>0.85</v>
      </c>
      <c r="L59">
        <f>shipping_compact!H$12</f>
        <v>0.99199999999999999</v>
      </c>
      <c r="M59">
        <f>shipping_compact!J$12</f>
        <v>0.05</v>
      </c>
      <c r="N59">
        <f>shipping_compact!K$12</f>
        <v>0.28720000000000001</v>
      </c>
      <c r="O59" s="26">
        <f>shipping_compact!D$16</f>
        <v>293456.89305233641</v>
      </c>
      <c r="P59" s="26">
        <f>shipping_compact!F$16</f>
        <v>30</v>
      </c>
      <c r="Q59" s="26">
        <f>shipping_compact!G$16</f>
        <v>1</v>
      </c>
      <c r="R59" s="24">
        <f>shipping_compact!J$16</f>
        <v>0.04</v>
      </c>
      <c r="S59" s="24">
        <f>shipping_compact!L$16</f>
        <v>0</v>
      </c>
      <c r="T59" s="26">
        <f>shipping_compact!D$17</f>
        <v>6181584.9056603797</v>
      </c>
      <c r="U59" s="26">
        <f>shipping_compact!E$17</f>
        <v>4380</v>
      </c>
      <c r="V59" s="26">
        <f>shipping_compact!F$17</f>
        <v>25</v>
      </c>
      <c r="W59" s="26">
        <f>shipping_compact!G$17</f>
        <v>1</v>
      </c>
      <c r="X59" s="26">
        <f>shipping_compact!I$17</f>
        <v>0</v>
      </c>
      <c r="Y59" s="26">
        <f>shipping_compact!J$17</f>
        <v>0.04</v>
      </c>
      <c r="Z59" s="52">
        <f>shipping_compact!L$17</f>
        <v>2.2101939866396524E-4</v>
      </c>
      <c r="AA59">
        <f>shipping_compact!D$18</f>
        <v>1418767</v>
      </c>
      <c r="AB59">
        <f>shipping_compact!F$18</f>
        <v>30</v>
      </c>
      <c r="AC59">
        <f>shipping_compact!G$18</f>
        <v>0.996</v>
      </c>
      <c r="AD59">
        <f>shipping_compact!H$18</f>
        <v>0.68500000000000005</v>
      </c>
      <c r="AE59">
        <f>shipping_compact!J$18</f>
        <v>4.2999999999999997E-2</v>
      </c>
      <c r="AF59">
        <f>shipping_compact!K$18</f>
        <v>0</v>
      </c>
    </row>
    <row r="60" spans="1:35" x14ac:dyDescent="0.35">
      <c r="A60" t="s">
        <v>364</v>
      </c>
      <c r="B60" t="s">
        <v>520</v>
      </c>
      <c r="C60" t="str">
        <f t="shared" si="1"/>
        <v>nh3_terminal_AS-QAT</v>
      </c>
      <c r="D60" t="s">
        <v>227</v>
      </c>
      <c r="E60" s="22">
        <v>25.883521009999999</v>
      </c>
      <c r="F60" s="22">
        <v>51.480261319999997</v>
      </c>
      <c r="G60" s="23" t="s">
        <v>129</v>
      </c>
      <c r="H60">
        <f>shipping_compact!D$12</f>
        <v>5986780</v>
      </c>
      <c r="I60">
        <f>shipping_compact!E$12</f>
        <v>6000</v>
      </c>
      <c r="J60">
        <f>shipping_compact!F$12</f>
        <v>30</v>
      </c>
      <c r="K60">
        <f>shipping_compact!G$12</f>
        <v>0.85</v>
      </c>
      <c r="L60">
        <f>shipping_compact!H$12</f>
        <v>0.99199999999999999</v>
      </c>
      <c r="M60">
        <f>shipping_compact!J$12</f>
        <v>0.05</v>
      </c>
      <c r="N60">
        <f>shipping_compact!K$12</f>
        <v>0.28720000000000001</v>
      </c>
      <c r="O60" s="26">
        <f>shipping_compact!D$16</f>
        <v>293456.89305233641</v>
      </c>
      <c r="P60" s="26">
        <f>shipping_compact!F$16</f>
        <v>30</v>
      </c>
      <c r="Q60" s="26">
        <f>shipping_compact!G$16</f>
        <v>1</v>
      </c>
      <c r="R60" s="24">
        <f>shipping_compact!J$16</f>
        <v>0.04</v>
      </c>
      <c r="S60" s="24">
        <f>shipping_compact!L$16</f>
        <v>0</v>
      </c>
      <c r="T60" s="26">
        <f>shipping_compact!D$17</f>
        <v>6181584.9056603797</v>
      </c>
      <c r="U60" s="26">
        <f>shipping_compact!E$17</f>
        <v>4380</v>
      </c>
      <c r="V60" s="26">
        <f>shipping_compact!F$17</f>
        <v>25</v>
      </c>
      <c r="W60" s="26">
        <f>shipping_compact!G$17</f>
        <v>1</v>
      </c>
      <c r="X60" s="26">
        <f>shipping_compact!I$17</f>
        <v>0</v>
      </c>
      <c r="Y60" s="26">
        <f>shipping_compact!J$17</f>
        <v>0.04</v>
      </c>
      <c r="Z60" s="52">
        <f>shipping_compact!L$17</f>
        <v>2.2101939866396524E-4</v>
      </c>
      <c r="AA60">
        <f>shipping_compact!D$18</f>
        <v>1418767</v>
      </c>
      <c r="AB60">
        <f>shipping_compact!F$18</f>
        <v>30</v>
      </c>
      <c r="AC60">
        <f>shipping_compact!G$18</f>
        <v>0.996</v>
      </c>
      <c r="AD60">
        <f>shipping_compact!H$18</f>
        <v>0.68500000000000005</v>
      </c>
      <c r="AE60">
        <f>shipping_compact!J$18</f>
        <v>4.2999999999999997E-2</v>
      </c>
      <c r="AF60">
        <f>shipping_compact!K$18</f>
        <v>0</v>
      </c>
    </row>
    <row r="61" spans="1:35" x14ac:dyDescent="0.35">
      <c r="A61" t="s">
        <v>365</v>
      </c>
      <c r="B61" t="s">
        <v>520</v>
      </c>
      <c r="C61" t="str">
        <f t="shared" si="1"/>
        <v>nh3_terminal_AS-IND-WE</v>
      </c>
      <c r="D61" t="s">
        <v>205</v>
      </c>
      <c r="E61" s="22">
        <v>18.944742420000001</v>
      </c>
      <c r="F61" s="22">
        <v>72.950074349999994</v>
      </c>
      <c r="G61" s="23" t="s">
        <v>129</v>
      </c>
      <c r="H61">
        <f>shipping_compact!D$12</f>
        <v>5986780</v>
      </c>
      <c r="I61">
        <f>shipping_compact!E$12</f>
        <v>6000</v>
      </c>
      <c r="J61">
        <f>shipping_compact!F$12</f>
        <v>30</v>
      </c>
      <c r="K61">
        <f>shipping_compact!G$12</f>
        <v>0.85</v>
      </c>
      <c r="L61">
        <f>shipping_compact!H$12</f>
        <v>0.99199999999999999</v>
      </c>
      <c r="M61">
        <f>shipping_compact!J$12</f>
        <v>0.05</v>
      </c>
      <c r="N61">
        <f>shipping_compact!K$12</f>
        <v>0.28720000000000001</v>
      </c>
      <c r="O61" s="26">
        <f>shipping_compact!D$16</f>
        <v>293456.89305233641</v>
      </c>
      <c r="P61" s="26">
        <f>shipping_compact!F$16</f>
        <v>30</v>
      </c>
      <c r="Q61" s="26">
        <f>shipping_compact!G$16</f>
        <v>1</v>
      </c>
      <c r="R61" s="24">
        <f>shipping_compact!J$16</f>
        <v>0.04</v>
      </c>
      <c r="S61" s="24">
        <f>shipping_compact!L$16</f>
        <v>0</v>
      </c>
      <c r="T61" s="26">
        <f>shipping_compact!D$17</f>
        <v>6181584.9056603797</v>
      </c>
      <c r="U61" s="26">
        <f>shipping_compact!E$17</f>
        <v>4380</v>
      </c>
      <c r="V61" s="26">
        <f>shipping_compact!F$17</f>
        <v>25</v>
      </c>
      <c r="W61" s="26">
        <f>shipping_compact!G$17</f>
        <v>1</v>
      </c>
      <c r="X61" s="26">
        <f>shipping_compact!I$17</f>
        <v>0</v>
      </c>
      <c r="Y61" s="26">
        <f>shipping_compact!J$17</f>
        <v>0.04</v>
      </c>
      <c r="Z61" s="52">
        <f>shipping_compact!L$17</f>
        <v>2.2101939866396524E-4</v>
      </c>
      <c r="AA61">
        <f>shipping_compact!D$18</f>
        <v>1418767</v>
      </c>
      <c r="AB61">
        <f>shipping_compact!F$18</f>
        <v>30</v>
      </c>
      <c r="AC61">
        <f>shipping_compact!G$18</f>
        <v>0.996</v>
      </c>
      <c r="AD61">
        <f>shipping_compact!H$18</f>
        <v>0.68500000000000005</v>
      </c>
      <c r="AE61">
        <f>shipping_compact!J$18</f>
        <v>4.2999999999999997E-2</v>
      </c>
      <c r="AF61">
        <f>shipping_compact!K$18</f>
        <v>0</v>
      </c>
    </row>
    <row r="62" spans="1:35" x14ac:dyDescent="0.35">
      <c r="A62" t="s">
        <v>365</v>
      </c>
      <c r="B62" t="s">
        <v>520</v>
      </c>
      <c r="C62" t="str">
        <f t="shared" si="1"/>
        <v>nh3_terminal_AS-IND-WE</v>
      </c>
      <c r="D62" t="s">
        <v>366</v>
      </c>
      <c r="E62" s="22">
        <v>18.944742420000001</v>
      </c>
      <c r="F62" s="22">
        <v>72.950074349999994</v>
      </c>
      <c r="G62" s="23" t="s">
        <v>129</v>
      </c>
      <c r="H62">
        <f>shipping_compact!D$12</f>
        <v>5986780</v>
      </c>
      <c r="I62">
        <f>shipping_compact!E$12</f>
        <v>6000</v>
      </c>
      <c r="J62">
        <f>shipping_compact!F$12</f>
        <v>30</v>
      </c>
      <c r="K62">
        <f>shipping_compact!G$12</f>
        <v>0.85</v>
      </c>
      <c r="L62">
        <f>shipping_compact!H$12</f>
        <v>0.99199999999999999</v>
      </c>
      <c r="M62">
        <f>shipping_compact!J$12</f>
        <v>0.05</v>
      </c>
      <c r="N62">
        <f>shipping_compact!K$12</f>
        <v>0.28720000000000001</v>
      </c>
      <c r="O62" s="26">
        <f>shipping_compact!D$16</f>
        <v>293456.89305233641</v>
      </c>
      <c r="P62" s="26">
        <f>shipping_compact!F$16</f>
        <v>30</v>
      </c>
      <c r="Q62" s="26">
        <f>shipping_compact!G$16</f>
        <v>1</v>
      </c>
      <c r="R62" s="24">
        <f>shipping_compact!J$16</f>
        <v>0.04</v>
      </c>
      <c r="S62" s="24">
        <f>shipping_compact!L$16</f>
        <v>0</v>
      </c>
      <c r="T62" s="26">
        <f>shipping_compact!D$17</f>
        <v>6181584.9056603797</v>
      </c>
      <c r="U62" s="26">
        <f>shipping_compact!E$17</f>
        <v>4380</v>
      </c>
      <c r="V62" s="26">
        <f>shipping_compact!F$17</f>
        <v>25</v>
      </c>
      <c r="W62" s="26">
        <f>shipping_compact!G$17</f>
        <v>1</v>
      </c>
      <c r="X62" s="26">
        <f>shipping_compact!I$17</f>
        <v>0</v>
      </c>
      <c r="Y62" s="26">
        <f>shipping_compact!J$17</f>
        <v>0.04</v>
      </c>
      <c r="Z62" s="52">
        <f>shipping_compact!L$17</f>
        <v>2.2101939866396524E-4</v>
      </c>
      <c r="AA62">
        <f>shipping_compact!D$18</f>
        <v>1418767</v>
      </c>
      <c r="AB62">
        <f>shipping_compact!F$18</f>
        <v>30</v>
      </c>
      <c r="AC62">
        <f>shipping_compact!G$18</f>
        <v>0.996</v>
      </c>
      <c r="AD62">
        <f>shipping_compact!H$18</f>
        <v>0.68500000000000005</v>
      </c>
      <c r="AE62">
        <f>shipping_compact!J$18</f>
        <v>4.2999999999999997E-2</v>
      </c>
      <c r="AF62">
        <f>shipping_compact!K$18</f>
        <v>0</v>
      </c>
    </row>
    <row r="63" spans="1:35" x14ac:dyDescent="0.35">
      <c r="A63" t="s">
        <v>367</v>
      </c>
      <c r="B63" t="s">
        <v>520</v>
      </c>
      <c r="C63" t="str">
        <f t="shared" si="1"/>
        <v>nh3_terminal_AS-BGD</v>
      </c>
      <c r="D63" t="s">
        <v>199</v>
      </c>
      <c r="E63" s="22">
        <v>22.256499399999999</v>
      </c>
      <c r="F63" s="22">
        <v>91.784941779999997</v>
      </c>
      <c r="G63" s="23" t="s">
        <v>129</v>
      </c>
      <c r="H63">
        <f>shipping_compact!D$12</f>
        <v>5986780</v>
      </c>
      <c r="I63">
        <f>shipping_compact!E$12</f>
        <v>6000</v>
      </c>
      <c r="J63">
        <f>shipping_compact!F$12</f>
        <v>30</v>
      </c>
      <c r="K63">
        <f>shipping_compact!G$12</f>
        <v>0.85</v>
      </c>
      <c r="L63">
        <f>shipping_compact!H$12</f>
        <v>0.99199999999999999</v>
      </c>
      <c r="M63">
        <f>shipping_compact!J$12</f>
        <v>0.05</v>
      </c>
      <c r="N63">
        <f>shipping_compact!K$12</f>
        <v>0.28720000000000001</v>
      </c>
      <c r="O63" s="26">
        <f>shipping_compact!D$16</f>
        <v>293456.89305233641</v>
      </c>
      <c r="P63" s="26">
        <f>shipping_compact!F$16</f>
        <v>30</v>
      </c>
      <c r="Q63" s="26">
        <f>shipping_compact!G$16</f>
        <v>1</v>
      </c>
      <c r="R63" s="24">
        <f>shipping_compact!J$16</f>
        <v>0.04</v>
      </c>
      <c r="S63" s="24">
        <f>shipping_compact!L$16</f>
        <v>0</v>
      </c>
      <c r="T63" s="26">
        <f>shipping_compact!D$17</f>
        <v>6181584.9056603797</v>
      </c>
      <c r="U63" s="26">
        <f>shipping_compact!E$17</f>
        <v>4380</v>
      </c>
      <c r="V63" s="26">
        <f>shipping_compact!F$17</f>
        <v>25</v>
      </c>
      <c r="W63" s="26">
        <f>shipping_compact!G$17</f>
        <v>1</v>
      </c>
      <c r="X63" s="26">
        <f>shipping_compact!I$17</f>
        <v>0</v>
      </c>
      <c r="Y63" s="26">
        <f>shipping_compact!J$17</f>
        <v>0.04</v>
      </c>
      <c r="Z63" s="52">
        <f>shipping_compact!L$17</f>
        <v>2.2101939866396524E-4</v>
      </c>
      <c r="AA63">
        <f>shipping_compact!D$18</f>
        <v>1418767</v>
      </c>
      <c r="AB63">
        <f>shipping_compact!F$18</f>
        <v>30</v>
      </c>
      <c r="AC63">
        <f>shipping_compact!G$18</f>
        <v>0.996</v>
      </c>
      <c r="AD63">
        <f>shipping_compact!H$18</f>
        <v>0.68500000000000005</v>
      </c>
      <c r="AE63">
        <f>shipping_compact!J$18</f>
        <v>4.2999999999999997E-2</v>
      </c>
      <c r="AF63">
        <f>shipping_compact!K$18</f>
        <v>0</v>
      </c>
    </row>
    <row r="64" spans="1:35" x14ac:dyDescent="0.35">
      <c r="A64" t="s">
        <v>368</v>
      </c>
      <c r="B64" t="s">
        <v>520</v>
      </c>
      <c r="C64" t="str">
        <f t="shared" si="1"/>
        <v>nh3_terminal_AS-SGP</v>
      </c>
      <c r="D64" t="s">
        <v>230</v>
      </c>
      <c r="E64" s="22">
        <v>1.2924510250000001</v>
      </c>
      <c r="F64" s="22">
        <v>103.63954649999999</v>
      </c>
      <c r="G64" s="23" t="s">
        <v>129</v>
      </c>
      <c r="H64">
        <f>shipping_compact!D$12</f>
        <v>5986780</v>
      </c>
      <c r="I64">
        <f>shipping_compact!E$12</f>
        <v>6000</v>
      </c>
      <c r="J64">
        <f>shipping_compact!F$12</f>
        <v>30</v>
      </c>
      <c r="K64">
        <f>shipping_compact!G$12</f>
        <v>0.85</v>
      </c>
      <c r="L64">
        <f>shipping_compact!H$12</f>
        <v>0.99199999999999999</v>
      </c>
      <c r="M64">
        <f>shipping_compact!J$12</f>
        <v>0.05</v>
      </c>
      <c r="N64">
        <f>shipping_compact!K$12</f>
        <v>0.28720000000000001</v>
      </c>
      <c r="O64" s="26">
        <f>shipping_compact!D$16</f>
        <v>293456.89305233641</v>
      </c>
      <c r="P64" s="26">
        <f>shipping_compact!F$16</f>
        <v>30</v>
      </c>
      <c r="Q64" s="26">
        <f>shipping_compact!G$16</f>
        <v>1</v>
      </c>
      <c r="R64" s="24">
        <f>shipping_compact!J$16</f>
        <v>0.04</v>
      </c>
      <c r="S64" s="24">
        <f>shipping_compact!L$16</f>
        <v>0</v>
      </c>
      <c r="T64" s="26">
        <f>shipping_compact!D$17</f>
        <v>6181584.9056603797</v>
      </c>
      <c r="U64" s="26">
        <f>shipping_compact!E$17</f>
        <v>4380</v>
      </c>
      <c r="V64" s="26">
        <f>shipping_compact!F$17</f>
        <v>25</v>
      </c>
      <c r="W64" s="26">
        <f>shipping_compact!G$17</f>
        <v>1</v>
      </c>
      <c r="X64" s="26">
        <f>shipping_compact!I$17</f>
        <v>0</v>
      </c>
      <c r="Y64" s="26">
        <f>shipping_compact!J$17</f>
        <v>0.04</v>
      </c>
      <c r="Z64" s="52">
        <f>shipping_compact!L$17</f>
        <v>2.2101939866396524E-4</v>
      </c>
      <c r="AA64">
        <f>shipping_compact!D$18</f>
        <v>1418767</v>
      </c>
      <c r="AB64">
        <f>shipping_compact!F$18</f>
        <v>30</v>
      </c>
      <c r="AC64">
        <f>shipping_compact!G$18</f>
        <v>0.996</v>
      </c>
      <c r="AD64">
        <f>shipping_compact!H$18</f>
        <v>0.68500000000000005</v>
      </c>
      <c r="AE64">
        <f>shipping_compact!J$18</f>
        <v>4.2999999999999997E-2</v>
      </c>
      <c r="AF64">
        <f>shipping_compact!K$18</f>
        <v>0</v>
      </c>
    </row>
    <row r="65" spans="1:32" x14ac:dyDescent="0.35">
      <c r="A65" t="s">
        <v>369</v>
      </c>
      <c r="B65" t="s">
        <v>520</v>
      </c>
      <c r="C65" t="str">
        <f t="shared" si="1"/>
        <v>nh3_terminal_AS-IDN</v>
      </c>
      <c r="D65" t="s">
        <v>204</v>
      </c>
      <c r="E65" s="22">
        <v>-0.88613326299999995</v>
      </c>
      <c r="F65" s="22">
        <v>131.27111149999999</v>
      </c>
      <c r="G65" s="23" t="s">
        <v>129</v>
      </c>
      <c r="H65">
        <f>shipping_compact!D$12</f>
        <v>5986780</v>
      </c>
      <c r="I65">
        <f>shipping_compact!E$12</f>
        <v>6000</v>
      </c>
      <c r="J65">
        <f>shipping_compact!F$12</f>
        <v>30</v>
      </c>
      <c r="K65">
        <f>shipping_compact!G$12</f>
        <v>0.85</v>
      </c>
      <c r="L65">
        <f>shipping_compact!H$12</f>
        <v>0.99199999999999999</v>
      </c>
      <c r="M65">
        <f>shipping_compact!J$12</f>
        <v>0.05</v>
      </c>
      <c r="N65">
        <f>shipping_compact!K$12</f>
        <v>0.28720000000000001</v>
      </c>
      <c r="O65" s="26">
        <f>shipping_compact!D$16</f>
        <v>293456.89305233641</v>
      </c>
      <c r="P65" s="26">
        <f>shipping_compact!F$16</f>
        <v>30</v>
      </c>
      <c r="Q65" s="26">
        <f>shipping_compact!G$16</f>
        <v>1</v>
      </c>
      <c r="R65" s="24">
        <f>shipping_compact!J$16</f>
        <v>0.04</v>
      </c>
      <c r="S65" s="24">
        <f>shipping_compact!L$16</f>
        <v>0</v>
      </c>
      <c r="T65" s="26">
        <f>shipping_compact!D$17</f>
        <v>6181584.9056603797</v>
      </c>
      <c r="U65" s="26">
        <f>shipping_compact!E$17</f>
        <v>4380</v>
      </c>
      <c r="V65" s="26">
        <f>shipping_compact!F$17</f>
        <v>25</v>
      </c>
      <c r="W65" s="26">
        <f>shipping_compact!G$17</f>
        <v>1</v>
      </c>
      <c r="X65" s="26">
        <f>shipping_compact!I$17</f>
        <v>0</v>
      </c>
      <c r="Y65" s="26">
        <f>shipping_compact!J$17</f>
        <v>0.04</v>
      </c>
      <c r="Z65" s="52">
        <f>shipping_compact!L$17</f>
        <v>2.2101939866396524E-4</v>
      </c>
      <c r="AA65">
        <f>shipping_compact!D$18</f>
        <v>1418767</v>
      </c>
      <c r="AB65">
        <f>shipping_compact!F$18</f>
        <v>30</v>
      </c>
      <c r="AC65">
        <f>shipping_compact!G$18</f>
        <v>0.996</v>
      </c>
      <c r="AD65">
        <f>shipping_compact!H$18</f>
        <v>0.68500000000000005</v>
      </c>
      <c r="AE65">
        <f>shipping_compact!J$18</f>
        <v>4.2999999999999997E-2</v>
      </c>
      <c r="AF65">
        <f>shipping_compact!K$18</f>
        <v>0</v>
      </c>
    </row>
    <row r="66" spans="1:32" x14ac:dyDescent="0.35">
      <c r="A66" t="s">
        <v>370</v>
      </c>
      <c r="B66" t="s">
        <v>520</v>
      </c>
      <c r="C66" t="str">
        <f t="shared" si="1"/>
        <v>nh3_terminal_AS-CHN-SH</v>
      </c>
      <c r="D66" t="s">
        <v>203</v>
      </c>
      <c r="E66" s="22">
        <v>31.331849340000002</v>
      </c>
      <c r="F66" s="22">
        <v>121.63780029999999</v>
      </c>
      <c r="G66" s="23" t="s">
        <v>129</v>
      </c>
      <c r="H66">
        <f>shipping_compact!D$12</f>
        <v>5986780</v>
      </c>
      <c r="I66">
        <f>shipping_compact!E$12</f>
        <v>6000</v>
      </c>
      <c r="J66">
        <f>shipping_compact!F$12</f>
        <v>30</v>
      </c>
      <c r="K66">
        <f>shipping_compact!G$12</f>
        <v>0.85</v>
      </c>
      <c r="L66">
        <f>shipping_compact!H$12</f>
        <v>0.99199999999999999</v>
      </c>
      <c r="M66">
        <f>shipping_compact!J$12</f>
        <v>0.05</v>
      </c>
      <c r="N66">
        <f>shipping_compact!K$12</f>
        <v>0.28720000000000001</v>
      </c>
      <c r="O66" s="26">
        <f>shipping_compact!D$16</f>
        <v>293456.89305233641</v>
      </c>
      <c r="P66" s="26">
        <f>shipping_compact!F$16</f>
        <v>30</v>
      </c>
      <c r="Q66" s="26">
        <f>shipping_compact!G$16</f>
        <v>1</v>
      </c>
      <c r="R66" s="24">
        <f>shipping_compact!J$16</f>
        <v>0.04</v>
      </c>
      <c r="S66" s="24">
        <f>shipping_compact!L$16</f>
        <v>0</v>
      </c>
      <c r="T66" s="26">
        <f>shipping_compact!D$17</f>
        <v>6181584.9056603797</v>
      </c>
      <c r="U66" s="26">
        <f>shipping_compact!E$17</f>
        <v>4380</v>
      </c>
      <c r="V66" s="26">
        <f>shipping_compact!F$17</f>
        <v>25</v>
      </c>
      <c r="W66" s="26">
        <f>shipping_compact!G$17</f>
        <v>1</v>
      </c>
      <c r="X66" s="26">
        <f>shipping_compact!I$17</f>
        <v>0</v>
      </c>
      <c r="Y66" s="26">
        <f>shipping_compact!J$17</f>
        <v>0.04</v>
      </c>
      <c r="Z66" s="52">
        <f>shipping_compact!L$17</f>
        <v>2.2101939866396524E-4</v>
      </c>
      <c r="AA66">
        <f>shipping_compact!D$18</f>
        <v>1418767</v>
      </c>
      <c r="AB66">
        <f>shipping_compact!F$18</f>
        <v>30</v>
      </c>
      <c r="AC66">
        <f>shipping_compact!G$18</f>
        <v>0.996</v>
      </c>
      <c r="AD66">
        <f>shipping_compact!H$18</f>
        <v>0.68500000000000005</v>
      </c>
      <c r="AE66">
        <f>shipping_compact!J$18</f>
        <v>4.2999999999999997E-2</v>
      </c>
      <c r="AF66">
        <f>shipping_compact!K$18</f>
        <v>0</v>
      </c>
    </row>
    <row r="67" spans="1:32" x14ac:dyDescent="0.35">
      <c r="A67" t="s">
        <v>370</v>
      </c>
      <c r="B67" t="s">
        <v>520</v>
      </c>
      <c r="C67" t="str">
        <f t="shared" si="1"/>
        <v>nh3_terminal_AS-CHN-SH</v>
      </c>
      <c r="D67" t="s">
        <v>371</v>
      </c>
      <c r="E67" s="22">
        <v>31.331849340000002</v>
      </c>
      <c r="F67" s="22">
        <v>121.63780029999999</v>
      </c>
      <c r="G67" s="23" t="s">
        <v>129</v>
      </c>
      <c r="H67">
        <f>shipping_compact!D$12</f>
        <v>5986780</v>
      </c>
      <c r="I67">
        <f>shipping_compact!E$12</f>
        <v>6000</v>
      </c>
      <c r="J67">
        <f>shipping_compact!F$12</f>
        <v>30</v>
      </c>
      <c r="K67">
        <f>shipping_compact!G$12</f>
        <v>0.85</v>
      </c>
      <c r="L67">
        <f>shipping_compact!H$12</f>
        <v>0.99199999999999999</v>
      </c>
      <c r="M67">
        <f>shipping_compact!J$12</f>
        <v>0.05</v>
      </c>
      <c r="N67">
        <f>shipping_compact!K$12</f>
        <v>0.28720000000000001</v>
      </c>
      <c r="O67" s="26">
        <f>shipping_compact!D$16</f>
        <v>293456.89305233641</v>
      </c>
      <c r="P67" s="26">
        <f>shipping_compact!F$16</f>
        <v>30</v>
      </c>
      <c r="Q67" s="26">
        <f>shipping_compact!G$16</f>
        <v>1</v>
      </c>
      <c r="R67" s="24">
        <f>shipping_compact!J$16</f>
        <v>0.04</v>
      </c>
      <c r="S67" s="24">
        <f>shipping_compact!L$16</f>
        <v>0</v>
      </c>
      <c r="T67" s="26">
        <f>shipping_compact!D$17</f>
        <v>6181584.9056603797</v>
      </c>
      <c r="U67" s="26">
        <f>shipping_compact!E$17</f>
        <v>4380</v>
      </c>
      <c r="V67" s="26">
        <f>shipping_compact!F$17</f>
        <v>25</v>
      </c>
      <c r="W67" s="26">
        <f>shipping_compact!G$17</f>
        <v>1</v>
      </c>
      <c r="X67" s="26">
        <f>shipping_compact!I$17</f>
        <v>0</v>
      </c>
      <c r="Y67" s="26">
        <f>shipping_compact!J$17</f>
        <v>0.04</v>
      </c>
      <c r="Z67" s="52">
        <f>shipping_compact!L$17</f>
        <v>2.2101939866396524E-4</v>
      </c>
      <c r="AA67">
        <f>shipping_compact!D$18</f>
        <v>1418767</v>
      </c>
      <c r="AB67">
        <f>shipping_compact!F$18</f>
        <v>30</v>
      </c>
      <c r="AC67">
        <f>shipping_compact!G$18</f>
        <v>0.996</v>
      </c>
      <c r="AD67">
        <f>shipping_compact!H$18</f>
        <v>0.68500000000000005</v>
      </c>
      <c r="AE67">
        <f>shipping_compact!J$18</f>
        <v>4.2999999999999997E-2</v>
      </c>
      <c r="AF67">
        <f>shipping_compact!K$18</f>
        <v>0</v>
      </c>
    </row>
    <row r="68" spans="1:32" x14ac:dyDescent="0.35">
      <c r="A68" t="s">
        <v>372</v>
      </c>
      <c r="B68" t="s">
        <v>520</v>
      </c>
      <c r="C68" t="str">
        <f t="shared" si="1"/>
        <v>nh3_terminal_AS-JPN-TO</v>
      </c>
      <c r="D68" t="s">
        <v>210</v>
      </c>
      <c r="E68" s="22">
        <v>35.477499450000003</v>
      </c>
      <c r="F68" s="22">
        <v>139.67820470000001</v>
      </c>
      <c r="G68" s="23" t="s">
        <v>129</v>
      </c>
      <c r="H68">
        <f>shipping_compact!D$12</f>
        <v>5986780</v>
      </c>
      <c r="I68">
        <f>shipping_compact!E$12</f>
        <v>6000</v>
      </c>
      <c r="J68">
        <f>shipping_compact!F$12</f>
        <v>30</v>
      </c>
      <c r="K68">
        <f>shipping_compact!G$12</f>
        <v>0.85</v>
      </c>
      <c r="L68">
        <f>shipping_compact!H$12</f>
        <v>0.99199999999999999</v>
      </c>
      <c r="M68">
        <f>shipping_compact!J$12</f>
        <v>0.05</v>
      </c>
      <c r="N68">
        <f>shipping_compact!K$12</f>
        <v>0.28720000000000001</v>
      </c>
      <c r="O68" s="26">
        <f>shipping_compact!D$16</f>
        <v>293456.89305233641</v>
      </c>
      <c r="P68" s="26">
        <f>shipping_compact!F$16</f>
        <v>30</v>
      </c>
      <c r="Q68" s="26">
        <f>shipping_compact!G$16</f>
        <v>1</v>
      </c>
      <c r="R68" s="24">
        <f>shipping_compact!J$16</f>
        <v>0.04</v>
      </c>
      <c r="S68" s="24">
        <f>shipping_compact!L$16</f>
        <v>0</v>
      </c>
      <c r="T68" s="26">
        <f>shipping_compact!D$17</f>
        <v>6181584.9056603797</v>
      </c>
      <c r="U68" s="26">
        <f>shipping_compact!E$17</f>
        <v>4380</v>
      </c>
      <c r="V68" s="26">
        <f>shipping_compact!F$17</f>
        <v>25</v>
      </c>
      <c r="W68" s="26">
        <f>shipping_compact!G$17</f>
        <v>1</v>
      </c>
      <c r="X68" s="26">
        <f>shipping_compact!I$17</f>
        <v>0</v>
      </c>
      <c r="Y68" s="26">
        <f>shipping_compact!J$17</f>
        <v>0.04</v>
      </c>
      <c r="Z68" s="52">
        <f>shipping_compact!L$17</f>
        <v>2.2101939866396524E-4</v>
      </c>
      <c r="AA68">
        <f>shipping_compact!D$18</f>
        <v>1418767</v>
      </c>
      <c r="AB68">
        <f>shipping_compact!F$18</f>
        <v>30</v>
      </c>
      <c r="AC68">
        <f>shipping_compact!G$18</f>
        <v>0.996</v>
      </c>
      <c r="AD68">
        <f>shipping_compact!H$18</f>
        <v>0.68500000000000005</v>
      </c>
      <c r="AE68">
        <f>shipping_compact!J$18</f>
        <v>4.2999999999999997E-2</v>
      </c>
      <c r="AF68">
        <f>shipping_compact!K$18</f>
        <v>0</v>
      </c>
    </row>
    <row r="69" spans="1:32" x14ac:dyDescent="0.35">
      <c r="A69" t="s">
        <v>372</v>
      </c>
      <c r="B69" t="s">
        <v>520</v>
      </c>
      <c r="C69" t="str">
        <f t="shared" si="1"/>
        <v>nh3_terminal_AS-JPN-TO</v>
      </c>
      <c r="D69" t="s">
        <v>373</v>
      </c>
      <c r="E69" s="22">
        <v>35.477499450000003</v>
      </c>
      <c r="F69" s="22">
        <v>139.67820470000001</v>
      </c>
      <c r="G69" s="23" t="s">
        <v>129</v>
      </c>
      <c r="H69">
        <f>shipping_compact!D$12</f>
        <v>5986780</v>
      </c>
      <c r="I69">
        <f>shipping_compact!E$12</f>
        <v>6000</v>
      </c>
      <c r="J69">
        <f>shipping_compact!F$12</f>
        <v>30</v>
      </c>
      <c r="K69">
        <f>shipping_compact!G$12</f>
        <v>0.85</v>
      </c>
      <c r="L69">
        <f>shipping_compact!H$12</f>
        <v>0.99199999999999999</v>
      </c>
      <c r="M69">
        <f>shipping_compact!J$12</f>
        <v>0.05</v>
      </c>
      <c r="N69">
        <f>shipping_compact!K$12</f>
        <v>0.28720000000000001</v>
      </c>
      <c r="O69" s="26">
        <f>shipping_compact!D$16</f>
        <v>293456.89305233641</v>
      </c>
      <c r="P69" s="26">
        <f>shipping_compact!F$16</f>
        <v>30</v>
      </c>
      <c r="Q69" s="26">
        <f>shipping_compact!G$16</f>
        <v>1</v>
      </c>
      <c r="R69" s="24">
        <f>shipping_compact!J$16</f>
        <v>0.04</v>
      </c>
      <c r="S69" s="24">
        <f>shipping_compact!L$16</f>
        <v>0</v>
      </c>
      <c r="T69" s="26">
        <f>shipping_compact!D$17</f>
        <v>6181584.9056603797</v>
      </c>
      <c r="U69" s="26">
        <f>shipping_compact!E$17</f>
        <v>4380</v>
      </c>
      <c r="V69" s="26">
        <f>shipping_compact!F$17</f>
        <v>25</v>
      </c>
      <c r="W69" s="26">
        <f>shipping_compact!G$17</f>
        <v>1</v>
      </c>
      <c r="X69" s="26">
        <f>shipping_compact!I$17</f>
        <v>0</v>
      </c>
      <c r="Y69" s="26">
        <f>shipping_compact!J$17</f>
        <v>0.04</v>
      </c>
      <c r="Z69" s="52">
        <f>shipping_compact!L$17</f>
        <v>2.2101939866396524E-4</v>
      </c>
      <c r="AA69">
        <f>shipping_compact!D$18</f>
        <v>1418767</v>
      </c>
      <c r="AB69">
        <f>shipping_compact!F$18</f>
        <v>30</v>
      </c>
      <c r="AC69">
        <f>shipping_compact!G$18</f>
        <v>0.996</v>
      </c>
      <c r="AD69">
        <f>shipping_compact!H$18</f>
        <v>0.68500000000000005</v>
      </c>
      <c r="AE69">
        <f>shipping_compact!J$18</f>
        <v>4.2999999999999997E-2</v>
      </c>
      <c r="AF69">
        <f>shipping_compact!K$18</f>
        <v>0</v>
      </c>
    </row>
    <row r="70" spans="1:32" x14ac:dyDescent="0.35">
      <c r="A70" t="s">
        <v>374</v>
      </c>
      <c r="B70" t="s">
        <v>520</v>
      </c>
      <c r="C70" t="str">
        <f t="shared" si="1"/>
        <v>nh3_terminal_AS-VNM</v>
      </c>
      <c r="D70" t="s">
        <v>238</v>
      </c>
      <c r="E70" s="22">
        <v>20.71420444</v>
      </c>
      <c r="F70" s="22">
        <v>106.7809084</v>
      </c>
      <c r="G70" s="23" t="s">
        <v>129</v>
      </c>
      <c r="H70">
        <f>shipping_compact!D$12</f>
        <v>5986780</v>
      </c>
      <c r="I70">
        <f>shipping_compact!E$12</f>
        <v>6000</v>
      </c>
      <c r="J70">
        <f>shipping_compact!F$12</f>
        <v>30</v>
      </c>
      <c r="K70">
        <f>shipping_compact!G$12</f>
        <v>0.85</v>
      </c>
      <c r="L70">
        <f>shipping_compact!H$12</f>
        <v>0.99199999999999999</v>
      </c>
      <c r="M70">
        <f>shipping_compact!J$12</f>
        <v>0.05</v>
      </c>
      <c r="N70">
        <f>shipping_compact!K$12</f>
        <v>0.28720000000000001</v>
      </c>
      <c r="O70" s="26">
        <f>shipping_compact!D$16</f>
        <v>293456.89305233641</v>
      </c>
      <c r="P70" s="26">
        <f>shipping_compact!F$16</f>
        <v>30</v>
      </c>
      <c r="Q70" s="26">
        <f>shipping_compact!G$16</f>
        <v>1</v>
      </c>
      <c r="R70" s="24">
        <f>shipping_compact!J$16</f>
        <v>0.04</v>
      </c>
      <c r="S70" s="24">
        <f>shipping_compact!L$16</f>
        <v>0</v>
      </c>
      <c r="T70" s="26">
        <f>shipping_compact!D$17</f>
        <v>6181584.9056603797</v>
      </c>
      <c r="U70" s="26">
        <f>shipping_compact!E$17</f>
        <v>4380</v>
      </c>
      <c r="V70" s="26">
        <f>shipping_compact!F$17</f>
        <v>25</v>
      </c>
      <c r="W70" s="26">
        <f>shipping_compact!G$17</f>
        <v>1</v>
      </c>
      <c r="X70" s="26">
        <f>shipping_compact!I$17</f>
        <v>0</v>
      </c>
      <c r="Y70" s="26">
        <f>shipping_compact!J$17</f>
        <v>0.04</v>
      </c>
      <c r="Z70" s="52">
        <f>shipping_compact!L$17</f>
        <v>2.2101939866396524E-4</v>
      </c>
      <c r="AA70">
        <f>shipping_compact!D$18</f>
        <v>1418767</v>
      </c>
      <c r="AB70">
        <f>shipping_compact!F$18</f>
        <v>30</v>
      </c>
      <c r="AC70">
        <f>shipping_compact!G$18</f>
        <v>0.996</v>
      </c>
      <c r="AD70">
        <f>shipping_compact!H$18</f>
        <v>0.68500000000000005</v>
      </c>
      <c r="AE70">
        <f>shipping_compact!J$18</f>
        <v>4.2999999999999997E-2</v>
      </c>
      <c r="AF70">
        <f>shipping_compact!K$18</f>
        <v>0</v>
      </c>
    </row>
    <row r="71" spans="1:32" x14ac:dyDescent="0.35">
      <c r="A71" t="s">
        <v>375</v>
      </c>
      <c r="B71" t="s">
        <v>520</v>
      </c>
      <c r="C71" t="str">
        <f t="shared" si="1"/>
        <v>nh3_terminal_OC-AUS-SW</v>
      </c>
      <c r="D71" t="s">
        <v>169</v>
      </c>
      <c r="E71" s="22">
        <v>-34.453054180000002</v>
      </c>
      <c r="F71" s="22">
        <v>150.89914529999999</v>
      </c>
      <c r="G71" s="23" t="s">
        <v>129</v>
      </c>
      <c r="H71">
        <f>shipping_compact!D$12</f>
        <v>5986780</v>
      </c>
      <c r="I71">
        <f>shipping_compact!E$12</f>
        <v>6000</v>
      </c>
      <c r="J71">
        <f>shipping_compact!F$12</f>
        <v>30</v>
      </c>
      <c r="K71">
        <f>shipping_compact!G$12</f>
        <v>0.85</v>
      </c>
      <c r="L71">
        <f>shipping_compact!H$12</f>
        <v>0.99199999999999999</v>
      </c>
      <c r="M71">
        <f>shipping_compact!J$12</f>
        <v>0.05</v>
      </c>
      <c r="N71">
        <f>shipping_compact!K$12</f>
        <v>0.28720000000000001</v>
      </c>
      <c r="O71" s="26">
        <f>shipping_compact!D$16</f>
        <v>293456.89305233641</v>
      </c>
      <c r="P71" s="26">
        <f>shipping_compact!F$16</f>
        <v>30</v>
      </c>
      <c r="Q71" s="26">
        <f>shipping_compact!G$16</f>
        <v>1</v>
      </c>
      <c r="R71" s="24">
        <f>shipping_compact!J$16</f>
        <v>0.04</v>
      </c>
      <c r="S71" s="24">
        <f>shipping_compact!L$16</f>
        <v>0</v>
      </c>
      <c r="T71" s="26">
        <f>shipping_compact!D$17</f>
        <v>6181584.9056603797</v>
      </c>
      <c r="U71" s="26">
        <f>shipping_compact!E$17</f>
        <v>4380</v>
      </c>
      <c r="V71" s="26">
        <f>shipping_compact!F$17</f>
        <v>25</v>
      </c>
      <c r="W71" s="26">
        <f>shipping_compact!G$17</f>
        <v>1</v>
      </c>
      <c r="X71" s="26">
        <f>shipping_compact!I$17</f>
        <v>0</v>
      </c>
      <c r="Y71" s="26">
        <f>shipping_compact!J$17</f>
        <v>0.04</v>
      </c>
      <c r="Z71" s="52">
        <f>shipping_compact!L$17</f>
        <v>2.2101939866396524E-4</v>
      </c>
      <c r="AA71">
        <f>shipping_compact!D$18</f>
        <v>1418767</v>
      </c>
      <c r="AB71">
        <f>shipping_compact!F$18</f>
        <v>30</v>
      </c>
      <c r="AC71">
        <f>shipping_compact!G$18</f>
        <v>0.996</v>
      </c>
      <c r="AD71">
        <f>shipping_compact!H$18</f>
        <v>0.68500000000000005</v>
      </c>
      <c r="AE71">
        <f>shipping_compact!J$18</f>
        <v>4.2999999999999997E-2</v>
      </c>
      <c r="AF71">
        <f>shipping_compact!K$18</f>
        <v>0</v>
      </c>
    </row>
    <row r="72" spans="1:32" x14ac:dyDescent="0.35">
      <c r="A72" t="s">
        <v>376</v>
      </c>
      <c r="B72" t="s">
        <v>520</v>
      </c>
      <c r="C72" t="str">
        <f t="shared" si="1"/>
        <v>nh3_terminal_OC-AUS-WA</v>
      </c>
      <c r="D72" t="s">
        <v>169</v>
      </c>
      <c r="E72" s="22">
        <v>-21.80043045</v>
      </c>
      <c r="F72" s="22">
        <v>114.8019882</v>
      </c>
      <c r="G72" s="23" t="s">
        <v>129</v>
      </c>
      <c r="H72">
        <f>shipping_compact!D$12</f>
        <v>5986780</v>
      </c>
      <c r="I72">
        <f>shipping_compact!E$12</f>
        <v>6000</v>
      </c>
      <c r="J72">
        <f>shipping_compact!F$12</f>
        <v>30</v>
      </c>
      <c r="K72">
        <f>shipping_compact!G$12</f>
        <v>0.85</v>
      </c>
      <c r="L72">
        <f>shipping_compact!H$12</f>
        <v>0.99199999999999999</v>
      </c>
      <c r="M72">
        <f>shipping_compact!J$12</f>
        <v>0.05</v>
      </c>
      <c r="N72">
        <f>shipping_compact!K$12</f>
        <v>0.28720000000000001</v>
      </c>
      <c r="O72" s="26">
        <f>shipping_compact!D$16</f>
        <v>293456.89305233641</v>
      </c>
      <c r="P72" s="26">
        <f>shipping_compact!F$16</f>
        <v>30</v>
      </c>
      <c r="Q72" s="26">
        <f>shipping_compact!G$16</f>
        <v>1</v>
      </c>
      <c r="R72" s="24">
        <f>shipping_compact!J$16</f>
        <v>0.04</v>
      </c>
      <c r="S72" s="24">
        <f>shipping_compact!L$16</f>
        <v>0</v>
      </c>
      <c r="T72" s="26">
        <f>shipping_compact!D$17</f>
        <v>6181584.9056603797</v>
      </c>
      <c r="U72" s="26">
        <f>shipping_compact!E$17</f>
        <v>4380</v>
      </c>
      <c r="V72" s="26">
        <f>shipping_compact!F$17</f>
        <v>25</v>
      </c>
      <c r="W72" s="26">
        <f>shipping_compact!G$17</f>
        <v>1</v>
      </c>
      <c r="X72" s="26">
        <f>shipping_compact!I$17</f>
        <v>0</v>
      </c>
      <c r="Y72" s="26">
        <f>shipping_compact!J$17</f>
        <v>0.04</v>
      </c>
      <c r="Z72" s="52">
        <f>shipping_compact!L$17</f>
        <v>2.2101939866396524E-4</v>
      </c>
      <c r="AA72">
        <f>shipping_compact!D$18</f>
        <v>1418767</v>
      </c>
      <c r="AB72">
        <f>shipping_compact!F$18</f>
        <v>30</v>
      </c>
      <c r="AC72">
        <f>shipping_compact!G$18</f>
        <v>0.996</v>
      </c>
      <c r="AD72">
        <f>shipping_compact!H$18</f>
        <v>0.68500000000000005</v>
      </c>
      <c r="AE72">
        <f>shipping_compact!J$18</f>
        <v>4.2999999999999997E-2</v>
      </c>
      <c r="AF72">
        <f>shipping_compact!K$18</f>
        <v>0</v>
      </c>
    </row>
    <row r="73" spans="1:32" x14ac:dyDescent="0.35">
      <c r="A73" t="s">
        <v>375</v>
      </c>
      <c r="B73" t="s">
        <v>520</v>
      </c>
      <c r="C73" t="str">
        <f t="shared" si="1"/>
        <v>nh3_terminal_OC-AUS-SW</v>
      </c>
      <c r="D73" t="s">
        <v>377</v>
      </c>
      <c r="E73" s="22">
        <v>-34.453054180000002</v>
      </c>
      <c r="F73" s="22">
        <v>150.89914529999999</v>
      </c>
      <c r="G73" s="23" t="s">
        <v>129</v>
      </c>
      <c r="H73">
        <f>shipping_compact!D$12</f>
        <v>5986780</v>
      </c>
      <c r="I73">
        <f>shipping_compact!E$12</f>
        <v>6000</v>
      </c>
      <c r="J73">
        <f>shipping_compact!F$12</f>
        <v>30</v>
      </c>
      <c r="K73">
        <f>shipping_compact!G$12</f>
        <v>0.85</v>
      </c>
      <c r="L73">
        <f>shipping_compact!H$12</f>
        <v>0.99199999999999999</v>
      </c>
      <c r="M73">
        <f>shipping_compact!J$12</f>
        <v>0.05</v>
      </c>
      <c r="N73">
        <f>shipping_compact!K$12</f>
        <v>0.28720000000000001</v>
      </c>
      <c r="O73" s="26">
        <f>shipping_compact!D$16</f>
        <v>293456.89305233641</v>
      </c>
      <c r="P73" s="26">
        <f>shipping_compact!F$16</f>
        <v>30</v>
      </c>
      <c r="Q73" s="26">
        <f>shipping_compact!G$16</f>
        <v>1</v>
      </c>
      <c r="R73" s="24">
        <f>shipping_compact!J$16</f>
        <v>0.04</v>
      </c>
      <c r="S73" s="24">
        <f>shipping_compact!L$16</f>
        <v>0</v>
      </c>
      <c r="T73" s="26">
        <f>shipping_compact!D$17</f>
        <v>6181584.9056603797</v>
      </c>
      <c r="U73" s="26">
        <f>shipping_compact!E$17</f>
        <v>4380</v>
      </c>
      <c r="V73" s="26">
        <f>shipping_compact!F$17</f>
        <v>25</v>
      </c>
      <c r="W73" s="26">
        <f>shipping_compact!G$17</f>
        <v>1</v>
      </c>
      <c r="X73" s="26">
        <f>shipping_compact!I$17</f>
        <v>0</v>
      </c>
      <c r="Y73" s="26">
        <f>shipping_compact!J$17</f>
        <v>0.04</v>
      </c>
      <c r="Z73" s="52">
        <f>shipping_compact!L$17</f>
        <v>2.2101939866396524E-4</v>
      </c>
      <c r="AA73">
        <f>shipping_compact!D$18</f>
        <v>1418767</v>
      </c>
      <c r="AB73">
        <f>shipping_compact!F$18</f>
        <v>30</v>
      </c>
      <c r="AC73">
        <f>shipping_compact!G$18</f>
        <v>0.996</v>
      </c>
      <c r="AD73">
        <f>shipping_compact!H$18</f>
        <v>0.68500000000000005</v>
      </c>
      <c r="AE73">
        <f>shipping_compact!J$18</f>
        <v>4.2999999999999997E-2</v>
      </c>
      <c r="AF73">
        <f>shipping_compact!K$18</f>
        <v>0</v>
      </c>
    </row>
    <row r="74" spans="1:32" x14ac:dyDescent="0.35">
      <c r="A74" t="s">
        <v>376</v>
      </c>
      <c r="B74" t="s">
        <v>520</v>
      </c>
      <c r="C74" t="str">
        <f t="shared" si="1"/>
        <v>nh3_terminal_OC-AUS-WA</v>
      </c>
      <c r="D74" t="s">
        <v>378</v>
      </c>
      <c r="E74" s="22">
        <v>-21.80043045</v>
      </c>
      <c r="F74" s="22">
        <v>114.8019882</v>
      </c>
      <c r="G74" s="23" t="s">
        <v>129</v>
      </c>
      <c r="H74">
        <f>shipping_compact!D$12</f>
        <v>5986780</v>
      </c>
      <c r="I74">
        <f>shipping_compact!E$12</f>
        <v>6000</v>
      </c>
      <c r="J74">
        <f>shipping_compact!F$12</f>
        <v>30</v>
      </c>
      <c r="K74">
        <f>shipping_compact!G$12</f>
        <v>0.85</v>
      </c>
      <c r="L74">
        <f>shipping_compact!H$12</f>
        <v>0.99199999999999999</v>
      </c>
      <c r="M74">
        <f>shipping_compact!J$12</f>
        <v>0.05</v>
      </c>
      <c r="N74">
        <f>shipping_compact!K$12</f>
        <v>0.28720000000000001</v>
      </c>
      <c r="O74" s="26">
        <f>shipping_compact!D$16</f>
        <v>293456.89305233641</v>
      </c>
      <c r="P74" s="26">
        <f>shipping_compact!F$16</f>
        <v>30</v>
      </c>
      <c r="Q74" s="26">
        <f>shipping_compact!G$16</f>
        <v>1</v>
      </c>
      <c r="R74" s="24">
        <f>shipping_compact!J$16</f>
        <v>0.04</v>
      </c>
      <c r="S74" s="24">
        <f>shipping_compact!L$16</f>
        <v>0</v>
      </c>
      <c r="T74" s="26">
        <f>shipping_compact!D$17</f>
        <v>6181584.9056603797</v>
      </c>
      <c r="U74" s="26">
        <f>shipping_compact!E$17</f>
        <v>4380</v>
      </c>
      <c r="V74" s="26">
        <f>shipping_compact!F$17</f>
        <v>25</v>
      </c>
      <c r="W74" s="26">
        <f>shipping_compact!G$17</f>
        <v>1</v>
      </c>
      <c r="X74" s="26">
        <f>shipping_compact!I$17</f>
        <v>0</v>
      </c>
      <c r="Y74" s="26">
        <f>shipping_compact!J$17</f>
        <v>0.04</v>
      </c>
      <c r="Z74" s="52">
        <f>shipping_compact!L$17</f>
        <v>2.2101939866396524E-4</v>
      </c>
      <c r="AA74">
        <f>shipping_compact!D$18</f>
        <v>1418767</v>
      </c>
      <c r="AB74">
        <f>shipping_compact!F$18</f>
        <v>30</v>
      </c>
      <c r="AC74">
        <f>shipping_compact!G$18</f>
        <v>0.996</v>
      </c>
      <c r="AD74">
        <f>shipping_compact!H$18</f>
        <v>0.68500000000000005</v>
      </c>
      <c r="AE74">
        <f>shipping_compact!J$18</f>
        <v>4.2999999999999997E-2</v>
      </c>
      <c r="AF74">
        <f>shipping_compact!K$18</f>
        <v>0</v>
      </c>
    </row>
    <row r="75" spans="1:32" x14ac:dyDescent="0.35">
      <c r="A75" t="s">
        <v>379</v>
      </c>
      <c r="B75" t="s">
        <v>520</v>
      </c>
      <c r="C75" t="str">
        <f t="shared" si="1"/>
        <v>nh3_terminal_OC-NZL</v>
      </c>
      <c r="D75" t="s">
        <v>186</v>
      </c>
      <c r="E75" s="22">
        <v>-41.341304000000001</v>
      </c>
      <c r="F75" s="22">
        <v>174.775081</v>
      </c>
      <c r="G75" s="23" t="s">
        <v>129</v>
      </c>
      <c r="H75">
        <f>shipping_compact!D$12</f>
        <v>5986780</v>
      </c>
      <c r="I75">
        <f>shipping_compact!E$12</f>
        <v>6000</v>
      </c>
      <c r="J75">
        <f>shipping_compact!F$12</f>
        <v>30</v>
      </c>
      <c r="K75">
        <f>shipping_compact!G$12</f>
        <v>0.85</v>
      </c>
      <c r="L75">
        <f>shipping_compact!H$12</f>
        <v>0.99199999999999999</v>
      </c>
      <c r="M75">
        <f>shipping_compact!J$12</f>
        <v>0.05</v>
      </c>
      <c r="N75">
        <f>shipping_compact!K$12</f>
        <v>0.28720000000000001</v>
      </c>
      <c r="O75" s="26">
        <f>shipping_compact!D$16</f>
        <v>293456.89305233641</v>
      </c>
      <c r="P75" s="26">
        <f>shipping_compact!F$16</f>
        <v>30</v>
      </c>
      <c r="Q75" s="26">
        <f>shipping_compact!G$16</f>
        <v>1</v>
      </c>
      <c r="R75" s="24">
        <f>shipping_compact!J$16</f>
        <v>0.04</v>
      </c>
      <c r="S75" s="24">
        <f>shipping_compact!L$16</f>
        <v>0</v>
      </c>
      <c r="T75" s="26">
        <f>shipping_compact!D$17</f>
        <v>6181584.9056603797</v>
      </c>
      <c r="U75" s="26">
        <f>shipping_compact!E$17</f>
        <v>4380</v>
      </c>
      <c r="V75" s="26">
        <f>shipping_compact!F$17</f>
        <v>25</v>
      </c>
      <c r="W75" s="26">
        <f>shipping_compact!G$17</f>
        <v>1</v>
      </c>
      <c r="X75" s="26">
        <f>shipping_compact!I$17</f>
        <v>0</v>
      </c>
      <c r="Y75" s="26">
        <f>shipping_compact!J$17</f>
        <v>0.04</v>
      </c>
      <c r="Z75" s="52">
        <f>shipping_compact!L$17</f>
        <v>2.2101939866396524E-4</v>
      </c>
      <c r="AA75">
        <f>shipping_compact!D$18</f>
        <v>1418767</v>
      </c>
      <c r="AB75">
        <f>shipping_compact!F$18</f>
        <v>30</v>
      </c>
      <c r="AC75">
        <f>shipping_compact!G$18</f>
        <v>0.996</v>
      </c>
      <c r="AD75">
        <f>shipping_compact!H$18</f>
        <v>0.68500000000000005</v>
      </c>
      <c r="AE75">
        <f>shipping_compact!J$18</f>
        <v>4.2999999999999997E-2</v>
      </c>
      <c r="AF75">
        <f>shipping_compact!K$18</f>
        <v>0</v>
      </c>
    </row>
    <row r="76" spans="1:32" x14ac:dyDescent="0.35">
      <c r="A76" t="s">
        <v>380</v>
      </c>
      <c r="B76" t="s">
        <v>520</v>
      </c>
      <c r="C76" t="str">
        <f t="shared" si="1"/>
        <v>nh3_terminal_NA-USA-CA</v>
      </c>
      <c r="D76" t="s">
        <v>195</v>
      </c>
      <c r="E76" s="22">
        <v>37.805478909999998</v>
      </c>
      <c r="F76" s="22">
        <v>-122.31633100000001</v>
      </c>
      <c r="G76" s="23" t="s">
        <v>129</v>
      </c>
      <c r="H76">
        <f>shipping_compact!D$12</f>
        <v>5986780</v>
      </c>
      <c r="I76">
        <f>shipping_compact!E$12</f>
        <v>6000</v>
      </c>
      <c r="J76">
        <f>shipping_compact!F$12</f>
        <v>30</v>
      </c>
      <c r="K76">
        <f>shipping_compact!G$12</f>
        <v>0.85</v>
      </c>
      <c r="L76">
        <f>shipping_compact!H$12</f>
        <v>0.99199999999999999</v>
      </c>
      <c r="M76">
        <f>shipping_compact!J$12</f>
        <v>0.05</v>
      </c>
      <c r="N76">
        <f>shipping_compact!K$12</f>
        <v>0.28720000000000001</v>
      </c>
      <c r="O76" s="26">
        <f>shipping_compact!D$16</f>
        <v>293456.89305233641</v>
      </c>
      <c r="P76" s="26">
        <f>shipping_compact!F$16</f>
        <v>30</v>
      </c>
      <c r="Q76" s="26">
        <f>shipping_compact!G$16</f>
        <v>1</v>
      </c>
      <c r="R76" s="24">
        <f>shipping_compact!J$16</f>
        <v>0.04</v>
      </c>
      <c r="S76" s="24">
        <f>shipping_compact!L$16</f>
        <v>0</v>
      </c>
      <c r="T76" s="26">
        <f>shipping_compact!D$17</f>
        <v>6181584.9056603797</v>
      </c>
      <c r="U76" s="26">
        <f>shipping_compact!E$17</f>
        <v>4380</v>
      </c>
      <c r="V76" s="26">
        <f>shipping_compact!F$17</f>
        <v>25</v>
      </c>
      <c r="W76" s="26">
        <f>shipping_compact!G$17</f>
        <v>1</v>
      </c>
      <c r="X76" s="26">
        <f>shipping_compact!I$17</f>
        <v>0</v>
      </c>
      <c r="Y76" s="26">
        <f>shipping_compact!J$17</f>
        <v>0.04</v>
      </c>
      <c r="Z76" s="52">
        <f>shipping_compact!L$17</f>
        <v>2.2101939866396524E-4</v>
      </c>
      <c r="AA76">
        <f>shipping_compact!D$18</f>
        <v>1418767</v>
      </c>
      <c r="AB76">
        <f>shipping_compact!F$18</f>
        <v>30</v>
      </c>
      <c r="AC76">
        <f>shipping_compact!G$18</f>
        <v>0.996</v>
      </c>
      <c r="AD76">
        <f>shipping_compact!H$18</f>
        <v>0.68500000000000005</v>
      </c>
      <c r="AE76">
        <f>shipping_compact!J$18</f>
        <v>4.2999999999999997E-2</v>
      </c>
      <c r="AF76">
        <f>shipping_compact!K$18</f>
        <v>0</v>
      </c>
    </row>
    <row r="77" spans="1:32" x14ac:dyDescent="0.35">
      <c r="A77" t="s">
        <v>381</v>
      </c>
      <c r="B77" t="s">
        <v>520</v>
      </c>
      <c r="C77" t="str">
        <f t="shared" si="1"/>
        <v>nh3_terminal_NA-USA-SV</v>
      </c>
      <c r="D77" t="s">
        <v>195</v>
      </c>
      <c r="E77" s="22">
        <v>38.350882130000002</v>
      </c>
      <c r="F77" s="22">
        <v>-76.411079920000006</v>
      </c>
      <c r="G77" s="23" t="s">
        <v>129</v>
      </c>
      <c r="H77">
        <f>shipping_compact!D$12</f>
        <v>5986780</v>
      </c>
      <c r="I77">
        <f>shipping_compact!E$12</f>
        <v>6000</v>
      </c>
      <c r="J77">
        <f>shipping_compact!F$12</f>
        <v>30</v>
      </c>
      <c r="K77">
        <f>shipping_compact!G$12</f>
        <v>0.85</v>
      </c>
      <c r="L77">
        <f>shipping_compact!H$12</f>
        <v>0.99199999999999999</v>
      </c>
      <c r="M77">
        <f>shipping_compact!J$12</f>
        <v>0.05</v>
      </c>
      <c r="N77">
        <f>shipping_compact!K$12</f>
        <v>0.28720000000000001</v>
      </c>
      <c r="O77" s="26">
        <f>shipping_compact!D$16</f>
        <v>293456.89305233641</v>
      </c>
      <c r="P77" s="26">
        <f>shipping_compact!F$16</f>
        <v>30</v>
      </c>
      <c r="Q77" s="26">
        <f>shipping_compact!G$16</f>
        <v>1</v>
      </c>
      <c r="R77" s="24">
        <f>shipping_compact!J$16</f>
        <v>0.04</v>
      </c>
      <c r="S77" s="24">
        <f>shipping_compact!L$16</f>
        <v>0</v>
      </c>
      <c r="T77" s="26">
        <f>shipping_compact!D$17</f>
        <v>6181584.9056603797</v>
      </c>
      <c r="U77" s="26">
        <f>shipping_compact!E$17</f>
        <v>4380</v>
      </c>
      <c r="V77" s="26">
        <f>shipping_compact!F$17</f>
        <v>25</v>
      </c>
      <c r="W77" s="26">
        <f>shipping_compact!G$17</f>
        <v>1</v>
      </c>
      <c r="X77" s="26">
        <f>shipping_compact!I$17</f>
        <v>0</v>
      </c>
      <c r="Y77" s="26">
        <f>shipping_compact!J$17</f>
        <v>0.04</v>
      </c>
      <c r="Z77" s="52">
        <f>shipping_compact!L$17</f>
        <v>2.2101939866396524E-4</v>
      </c>
      <c r="AA77">
        <f>shipping_compact!D$18</f>
        <v>1418767</v>
      </c>
      <c r="AB77">
        <f>shipping_compact!F$18</f>
        <v>30</v>
      </c>
      <c r="AC77">
        <f>shipping_compact!G$18</f>
        <v>0.996</v>
      </c>
      <c r="AD77">
        <f>shipping_compact!H$18</f>
        <v>0.68500000000000005</v>
      </c>
      <c r="AE77">
        <f>shipping_compact!J$18</f>
        <v>4.2999999999999997E-2</v>
      </c>
      <c r="AF77">
        <f>shipping_compact!K$18</f>
        <v>0</v>
      </c>
    </row>
    <row r="78" spans="1:32" x14ac:dyDescent="0.35">
      <c r="A78" t="s">
        <v>382</v>
      </c>
      <c r="B78" t="s">
        <v>520</v>
      </c>
      <c r="C78" t="str">
        <f t="shared" si="1"/>
        <v>nh3_terminal_NA-USA-SA</v>
      </c>
      <c r="D78" t="s">
        <v>195</v>
      </c>
      <c r="E78" s="22">
        <v>30.27045948</v>
      </c>
      <c r="F78" s="22">
        <v>-89.391982049999996</v>
      </c>
      <c r="G78" s="23" t="s">
        <v>129</v>
      </c>
      <c r="H78">
        <f>shipping_compact!D$12</f>
        <v>5986780</v>
      </c>
      <c r="I78">
        <f>shipping_compact!E$12</f>
        <v>6000</v>
      </c>
      <c r="J78">
        <f>shipping_compact!F$12</f>
        <v>30</v>
      </c>
      <c r="K78">
        <f>shipping_compact!G$12</f>
        <v>0.85</v>
      </c>
      <c r="L78">
        <f>shipping_compact!H$12</f>
        <v>0.99199999999999999</v>
      </c>
      <c r="M78">
        <f>shipping_compact!J$12</f>
        <v>0.05</v>
      </c>
      <c r="N78">
        <f>shipping_compact!K$12</f>
        <v>0.28720000000000001</v>
      </c>
      <c r="O78" s="26">
        <f>shipping_compact!D$16</f>
        <v>293456.89305233641</v>
      </c>
      <c r="P78" s="26">
        <f>shipping_compact!F$16</f>
        <v>30</v>
      </c>
      <c r="Q78" s="26">
        <f>shipping_compact!G$16</f>
        <v>1</v>
      </c>
      <c r="R78" s="24">
        <f>shipping_compact!J$16</f>
        <v>0.04</v>
      </c>
      <c r="S78" s="24">
        <f>shipping_compact!L$16</f>
        <v>0</v>
      </c>
      <c r="T78" s="26">
        <f>shipping_compact!D$17</f>
        <v>6181584.9056603797</v>
      </c>
      <c r="U78" s="26">
        <f>shipping_compact!E$17</f>
        <v>4380</v>
      </c>
      <c r="V78" s="26">
        <f>shipping_compact!F$17</f>
        <v>25</v>
      </c>
      <c r="W78" s="26">
        <f>shipping_compact!G$17</f>
        <v>1</v>
      </c>
      <c r="X78" s="26">
        <f>shipping_compact!I$17</f>
        <v>0</v>
      </c>
      <c r="Y78" s="26">
        <f>shipping_compact!J$17</f>
        <v>0.04</v>
      </c>
      <c r="Z78" s="52">
        <f>shipping_compact!L$17</f>
        <v>2.2101939866396524E-4</v>
      </c>
      <c r="AA78">
        <f>shipping_compact!D$18</f>
        <v>1418767</v>
      </c>
      <c r="AB78">
        <f>shipping_compact!F$18</f>
        <v>30</v>
      </c>
      <c r="AC78">
        <f>shipping_compact!G$18</f>
        <v>0.996</v>
      </c>
      <c r="AD78">
        <f>shipping_compact!H$18</f>
        <v>0.68500000000000005</v>
      </c>
      <c r="AE78">
        <f>shipping_compact!J$18</f>
        <v>4.2999999999999997E-2</v>
      </c>
      <c r="AF78">
        <f>shipping_compact!K$18</f>
        <v>0</v>
      </c>
    </row>
    <row r="79" spans="1:32" x14ac:dyDescent="0.35">
      <c r="A79" t="s">
        <v>380</v>
      </c>
      <c r="B79" t="s">
        <v>520</v>
      </c>
      <c r="C79" t="str">
        <f t="shared" si="1"/>
        <v>nh3_terminal_NA-USA-CA</v>
      </c>
      <c r="D79" t="s">
        <v>383</v>
      </c>
      <c r="E79" s="22">
        <v>37.805478909999998</v>
      </c>
      <c r="F79" s="22">
        <v>-122.31633100000001</v>
      </c>
      <c r="G79" s="23" t="s">
        <v>129</v>
      </c>
      <c r="H79">
        <f>shipping_compact!D$12</f>
        <v>5986780</v>
      </c>
      <c r="I79">
        <f>shipping_compact!E$12</f>
        <v>6000</v>
      </c>
      <c r="J79">
        <f>shipping_compact!F$12</f>
        <v>30</v>
      </c>
      <c r="K79">
        <f>shipping_compact!G$12</f>
        <v>0.85</v>
      </c>
      <c r="L79">
        <f>shipping_compact!H$12</f>
        <v>0.99199999999999999</v>
      </c>
      <c r="M79">
        <f>shipping_compact!J$12</f>
        <v>0.05</v>
      </c>
      <c r="N79">
        <f>shipping_compact!K$12</f>
        <v>0.28720000000000001</v>
      </c>
      <c r="O79" s="26">
        <f>shipping_compact!D$16</f>
        <v>293456.89305233641</v>
      </c>
      <c r="P79" s="26">
        <f>shipping_compact!F$16</f>
        <v>30</v>
      </c>
      <c r="Q79" s="26">
        <f>shipping_compact!G$16</f>
        <v>1</v>
      </c>
      <c r="R79" s="24">
        <f>shipping_compact!J$16</f>
        <v>0.04</v>
      </c>
      <c r="S79" s="24">
        <f>shipping_compact!L$16</f>
        <v>0</v>
      </c>
      <c r="T79" s="26">
        <f>shipping_compact!D$17</f>
        <v>6181584.9056603797</v>
      </c>
      <c r="U79" s="26">
        <f>shipping_compact!E$17</f>
        <v>4380</v>
      </c>
      <c r="V79" s="26">
        <f>shipping_compact!F$17</f>
        <v>25</v>
      </c>
      <c r="W79" s="26">
        <f>shipping_compact!G$17</f>
        <v>1</v>
      </c>
      <c r="X79" s="26">
        <f>shipping_compact!I$17</f>
        <v>0</v>
      </c>
      <c r="Y79" s="26">
        <f>shipping_compact!J$17</f>
        <v>0.04</v>
      </c>
      <c r="Z79" s="52">
        <f>shipping_compact!L$17</f>
        <v>2.2101939866396524E-4</v>
      </c>
      <c r="AA79">
        <f>shipping_compact!D$18</f>
        <v>1418767</v>
      </c>
      <c r="AB79">
        <f>shipping_compact!F$18</f>
        <v>30</v>
      </c>
      <c r="AC79">
        <f>shipping_compact!G$18</f>
        <v>0.996</v>
      </c>
      <c r="AD79">
        <f>shipping_compact!H$18</f>
        <v>0.68500000000000005</v>
      </c>
      <c r="AE79">
        <f>shipping_compact!J$18</f>
        <v>4.2999999999999997E-2</v>
      </c>
      <c r="AF79">
        <f>shipping_compact!K$18</f>
        <v>0</v>
      </c>
    </row>
    <row r="80" spans="1:32" x14ac:dyDescent="0.35">
      <c r="A80" t="s">
        <v>381</v>
      </c>
      <c r="B80" t="s">
        <v>520</v>
      </c>
      <c r="C80" t="str">
        <f t="shared" si="1"/>
        <v>nh3_terminal_NA-USA-SV</v>
      </c>
      <c r="D80" t="s">
        <v>384</v>
      </c>
      <c r="E80" s="22">
        <v>38.350882130000002</v>
      </c>
      <c r="F80" s="22">
        <v>-76.411079920000006</v>
      </c>
      <c r="G80" s="23" t="s">
        <v>129</v>
      </c>
      <c r="H80">
        <f>shipping_compact!D$12</f>
        <v>5986780</v>
      </c>
      <c r="I80">
        <f>shipping_compact!E$12</f>
        <v>6000</v>
      </c>
      <c r="J80">
        <f>shipping_compact!F$12</f>
        <v>30</v>
      </c>
      <c r="K80">
        <f>shipping_compact!G$12</f>
        <v>0.85</v>
      </c>
      <c r="L80">
        <f>shipping_compact!H$12</f>
        <v>0.99199999999999999</v>
      </c>
      <c r="M80">
        <f>shipping_compact!J$12</f>
        <v>0.05</v>
      </c>
      <c r="N80">
        <f>shipping_compact!K$12</f>
        <v>0.28720000000000001</v>
      </c>
      <c r="O80" s="26">
        <f>shipping_compact!D$16</f>
        <v>293456.89305233641</v>
      </c>
      <c r="P80" s="26">
        <f>shipping_compact!F$16</f>
        <v>30</v>
      </c>
      <c r="Q80" s="26">
        <f>shipping_compact!G$16</f>
        <v>1</v>
      </c>
      <c r="R80" s="24">
        <f>shipping_compact!J$16</f>
        <v>0.04</v>
      </c>
      <c r="S80" s="24">
        <f>shipping_compact!L$16</f>
        <v>0</v>
      </c>
      <c r="T80" s="26">
        <f>shipping_compact!D$17</f>
        <v>6181584.9056603797</v>
      </c>
      <c r="U80" s="26">
        <f>shipping_compact!E$17</f>
        <v>4380</v>
      </c>
      <c r="V80" s="26">
        <f>shipping_compact!F$17</f>
        <v>25</v>
      </c>
      <c r="W80" s="26">
        <f>shipping_compact!G$17</f>
        <v>1</v>
      </c>
      <c r="X80" s="26">
        <f>shipping_compact!I$17</f>
        <v>0</v>
      </c>
      <c r="Y80" s="26">
        <f>shipping_compact!J$17</f>
        <v>0.04</v>
      </c>
      <c r="Z80" s="52">
        <f>shipping_compact!L$17</f>
        <v>2.2101939866396524E-4</v>
      </c>
      <c r="AA80">
        <f>shipping_compact!D$18</f>
        <v>1418767</v>
      </c>
      <c r="AB80">
        <f>shipping_compact!F$18</f>
        <v>30</v>
      </c>
      <c r="AC80">
        <f>shipping_compact!G$18</f>
        <v>0.996</v>
      </c>
      <c r="AD80">
        <f>shipping_compact!H$18</f>
        <v>0.68500000000000005</v>
      </c>
      <c r="AE80">
        <f>shipping_compact!J$18</f>
        <v>4.2999999999999997E-2</v>
      </c>
      <c r="AF80">
        <f>shipping_compact!K$18</f>
        <v>0</v>
      </c>
    </row>
    <row r="81" spans="1:32" x14ac:dyDescent="0.35">
      <c r="A81" t="s">
        <v>382</v>
      </c>
      <c r="B81" t="s">
        <v>520</v>
      </c>
      <c r="C81" t="str">
        <f t="shared" si="1"/>
        <v>nh3_terminal_NA-USA-SA</v>
      </c>
      <c r="D81" t="s">
        <v>385</v>
      </c>
      <c r="E81" s="22">
        <v>30.27045948</v>
      </c>
      <c r="F81" s="22">
        <v>-89.391982049999996</v>
      </c>
      <c r="G81" s="23" t="s">
        <v>129</v>
      </c>
      <c r="H81">
        <f>shipping_compact!D$12</f>
        <v>5986780</v>
      </c>
      <c r="I81">
        <f>shipping_compact!E$12</f>
        <v>6000</v>
      </c>
      <c r="J81">
        <f>shipping_compact!F$12</f>
        <v>30</v>
      </c>
      <c r="K81">
        <f>shipping_compact!G$12</f>
        <v>0.85</v>
      </c>
      <c r="L81">
        <f>shipping_compact!H$12</f>
        <v>0.99199999999999999</v>
      </c>
      <c r="M81">
        <f>shipping_compact!J$12</f>
        <v>0.05</v>
      </c>
      <c r="N81">
        <f>shipping_compact!K$12</f>
        <v>0.28720000000000001</v>
      </c>
      <c r="O81" s="26">
        <f>shipping_compact!D$16</f>
        <v>293456.89305233641</v>
      </c>
      <c r="P81" s="26">
        <f>shipping_compact!F$16</f>
        <v>30</v>
      </c>
      <c r="Q81" s="26">
        <f>shipping_compact!G$16</f>
        <v>1</v>
      </c>
      <c r="R81" s="24">
        <f>shipping_compact!J$16</f>
        <v>0.04</v>
      </c>
      <c r="S81" s="24">
        <f>shipping_compact!L$16</f>
        <v>0</v>
      </c>
      <c r="T81" s="26">
        <f>shipping_compact!D$17</f>
        <v>6181584.9056603797</v>
      </c>
      <c r="U81" s="26">
        <f>shipping_compact!E$17</f>
        <v>4380</v>
      </c>
      <c r="V81" s="26">
        <f>shipping_compact!F$17</f>
        <v>25</v>
      </c>
      <c r="W81" s="26">
        <f>shipping_compact!G$17</f>
        <v>1</v>
      </c>
      <c r="X81" s="26">
        <f>shipping_compact!I$17</f>
        <v>0</v>
      </c>
      <c r="Y81" s="26">
        <f>shipping_compact!J$17</f>
        <v>0.04</v>
      </c>
      <c r="Z81" s="52">
        <f>shipping_compact!L$17</f>
        <v>2.2101939866396524E-4</v>
      </c>
      <c r="AA81">
        <f>shipping_compact!D$18</f>
        <v>1418767</v>
      </c>
      <c r="AB81">
        <f>shipping_compact!F$18</f>
        <v>30</v>
      </c>
      <c r="AC81">
        <f>shipping_compact!G$18</f>
        <v>0.996</v>
      </c>
      <c r="AD81">
        <f>shipping_compact!H$18</f>
        <v>0.68500000000000005</v>
      </c>
      <c r="AE81">
        <f>shipping_compact!J$18</f>
        <v>4.2999999999999997E-2</v>
      </c>
      <c r="AF81">
        <f>shipping_compact!K$18</f>
        <v>0</v>
      </c>
    </row>
    <row r="82" spans="1:32" x14ac:dyDescent="0.35">
      <c r="A82" t="s">
        <v>386</v>
      </c>
      <c r="B82" t="s">
        <v>520</v>
      </c>
      <c r="C82" t="str">
        <f t="shared" si="1"/>
        <v>nh3_terminal_NA-MEX</v>
      </c>
      <c r="D82" t="s">
        <v>184</v>
      </c>
      <c r="E82" s="22">
        <v>18.155675850000002</v>
      </c>
      <c r="F82" s="22">
        <v>-94.536118009999996</v>
      </c>
      <c r="G82" s="23" t="s">
        <v>129</v>
      </c>
      <c r="H82">
        <f>shipping_compact!D$12</f>
        <v>5986780</v>
      </c>
      <c r="I82">
        <f>shipping_compact!E$12</f>
        <v>6000</v>
      </c>
      <c r="J82">
        <f>shipping_compact!F$12</f>
        <v>30</v>
      </c>
      <c r="K82">
        <f>shipping_compact!G$12</f>
        <v>0.85</v>
      </c>
      <c r="L82">
        <f>shipping_compact!H$12</f>
        <v>0.99199999999999999</v>
      </c>
      <c r="M82">
        <f>shipping_compact!J$12</f>
        <v>0.05</v>
      </c>
      <c r="N82">
        <f>shipping_compact!K$12</f>
        <v>0.28720000000000001</v>
      </c>
      <c r="O82" s="26">
        <f>shipping_compact!D$16</f>
        <v>293456.89305233641</v>
      </c>
      <c r="P82" s="26">
        <f>shipping_compact!F$16</f>
        <v>30</v>
      </c>
      <c r="Q82" s="26">
        <f>shipping_compact!G$16</f>
        <v>1</v>
      </c>
      <c r="R82" s="24">
        <f>shipping_compact!J$16</f>
        <v>0.04</v>
      </c>
      <c r="S82" s="24">
        <f>shipping_compact!L$16</f>
        <v>0</v>
      </c>
      <c r="T82" s="26">
        <f>shipping_compact!D$17</f>
        <v>6181584.9056603797</v>
      </c>
      <c r="U82" s="26">
        <f>shipping_compact!E$17</f>
        <v>4380</v>
      </c>
      <c r="V82" s="26">
        <f>shipping_compact!F$17</f>
        <v>25</v>
      </c>
      <c r="W82" s="26">
        <f>shipping_compact!G$17</f>
        <v>1</v>
      </c>
      <c r="X82" s="26">
        <f>shipping_compact!I$17</f>
        <v>0</v>
      </c>
      <c r="Y82" s="26">
        <f>shipping_compact!J$17</f>
        <v>0.04</v>
      </c>
      <c r="Z82" s="52">
        <f>shipping_compact!L$17</f>
        <v>2.2101939866396524E-4</v>
      </c>
      <c r="AA82">
        <f>shipping_compact!D$18</f>
        <v>1418767</v>
      </c>
      <c r="AB82">
        <f>shipping_compact!F$18</f>
        <v>30</v>
      </c>
      <c r="AC82">
        <f>shipping_compact!G$18</f>
        <v>0.996</v>
      </c>
      <c r="AD82">
        <f>shipping_compact!H$18</f>
        <v>0.68500000000000005</v>
      </c>
      <c r="AE82">
        <f>shipping_compact!J$18</f>
        <v>4.2999999999999997E-2</v>
      </c>
      <c r="AF82">
        <f>shipping_compact!K$18</f>
        <v>0</v>
      </c>
    </row>
    <row r="83" spans="1:32" x14ac:dyDescent="0.35">
      <c r="A83" t="s">
        <v>387</v>
      </c>
      <c r="B83" t="s">
        <v>520</v>
      </c>
      <c r="C83" t="str">
        <f t="shared" si="1"/>
        <v>nh3_terminal_NA-NIC</v>
      </c>
      <c r="D83" t="s">
        <v>185</v>
      </c>
      <c r="E83" s="22">
        <v>12.20558819</v>
      </c>
      <c r="F83" s="22">
        <v>-86.761905609999999</v>
      </c>
      <c r="G83" s="23" t="s">
        <v>129</v>
      </c>
      <c r="H83">
        <f>shipping_compact!D$12</f>
        <v>5986780</v>
      </c>
      <c r="I83">
        <f>shipping_compact!E$12</f>
        <v>6000</v>
      </c>
      <c r="J83">
        <f>shipping_compact!F$12</f>
        <v>30</v>
      </c>
      <c r="K83">
        <f>shipping_compact!G$12</f>
        <v>0.85</v>
      </c>
      <c r="L83">
        <f>shipping_compact!H$12</f>
        <v>0.99199999999999999</v>
      </c>
      <c r="M83">
        <f>shipping_compact!J$12</f>
        <v>0.05</v>
      </c>
      <c r="N83">
        <f>shipping_compact!K$12</f>
        <v>0.28720000000000001</v>
      </c>
      <c r="O83" s="26">
        <f>shipping_compact!D$16</f>
        <v>293456.89305233641</v>
      </c>
      <c r="P83" s="26">
        <f>shipping_compact!F$16</f>
        <v>30</v>
      </c>
      <c r="Q83" s="26">
        <f>shipping_compact!G$16</f>
        <v>1</v>
      </c>
      <c r="R83" s="24">
        <f>shipping_compact!J$16</f>
        <v>0.04</v>
      </c>
      <c r="S83" s="24">
        <f>shipping_compact!L$16</f>
        <v>0</v>
      </c>
      <c r="T83" s="26">
        <f>shipping_compact!D$17</f>
        <v>6181584.9056603797</v>
      </c>
      <c r="U83" s="26">
        <f>shipping_compact!E$17</f>
        <v>4380</v>
      </c>
      <c r="V83" s="26">
        <f>shipping_compact!F$17</f>
        <v>25</v>
      </c>
      <c r="W83" s="26">
        <f>shipping_compact!G$17</f>
        <v>1</v>
      </c>
      <c r="X83" s="26">
        <f>shipping_compact!I$17</f>
        <v>0</v>
      </c>
      <c r="Y83" s="26">
        <f>shipping_compact!J$17</f>
        <v>0.04</v>
      </c>
      <c r="Z83" s="52">
        <f>shipping_compact!L$17</f>
        <v>2.2101939866396524E-4</v>
      </c>
      <c r="AA83">
        <f>shipping_compact!D$18</f>
        <v>1418767</v>
      </c>
      <c r="AB83">
        <f>shipping_compact!F$18</f>
        <v>30</v>
      </c>
      <c r="AC83">
        <f>shipping_compact!G$18</f>
        <v>0.996</v>
      </c>
      <c r="AD83">
        <f>shipping_compact!H$18</f>
        <v>0.68500000000000005</v>
      </c>
      <c r="AE83">
        <f>shipping_compact!J$18</f>
        <v>4.2999999999999997E-2</v>
      </c>
      <c r="AF83">
        <f>shipping_compact!K$18</f>
        <v>0</v>
      </c>
    </row>
    <row r="84" spans="1:32" x14ac:dyDescent="0.35">
      <c r="A84" t="s">
        <v>388</v>
      </c>
      <c r="B84" t="s">
        <v>520</v>
      </c>
      <c r="C84" t="str">
        <f t="shared" si="1"/>
        <v>nh3_terminal_NA-DOM</v>
      </c>
      <c r="D84" t="s">
        <v>177</v>
      </c>
      <c r="E84" s="22">
        <v>18.423848960000001</v>
      </c>
      <c r="F84" s="22">
        <v>-69.633278090000005</v>
      </c>
      <c r="G84" s="23" t="s">
        <v>129</v>
      </c>
      <c r="H84">
        <f>shipping_compact!D$12</f>
        <v>5986780</v>
      </c>
      <c r="I84">
        <f>shipping_compact!E$12</f>
        <v>6000</v>
      </c>
      <c r="J84">
        <f>shipping_compact!F$12</f>
        <v>30</v>
      </c>
      <c r="K84">
        <f>shipping_compact!G$12</f>
        <v>0.85</v>
      </c>
      <c r="L84">
        <f>shipping_compact!H$12</f>
        <v>0.99199999999999999</v>
      </c>
      <c r="M84">
        <f>shipping_compact!J$12</f>
        <v>0.05</v>
      </c>
      <c r="N84">
        <f>shipping_compact!K$12</f>
        <v>0.28720000000000001</v>
      </c>
      <c r="O84" s="26">
        <f>shipping_compact!D$16</f>
        <v>293456.89305233641</v>
      </c>
      <c r="P84" s="26">
        <f>shipping_compact!F$16</f>
        <v>30</v>
      </c>
      <c r="Q84" s="26">
        <f>shipping_compact!G$16</f>
        <v>1</v>
      </c>
      <c r="R84" s="24">
        <f>shipping_compact!J$16</f>
        <v>0.04</v>
      </c>
      <c r="S84" s="24">
        <f>shipping_compact!L$16</f>
        <v>0</v>
      </c>
      <c r="T84" s="26">
        <f>shipping_compact!D$17</f>
        <v>6181584.9056603797</v>
      </c>
      <c r="U84" s="26">
        <f>shipping_compact!E$17</f>
        <v>4380</v>
      </c>
      <c r="V84" s="26">
        <f>shipping_compact!F$17</f>
        <v>25</v>
      </c>
      <c r="W84" s="26">
        <f>shipping_compact!G$17</f>
        <v>1</v>
      </c>
      <c r="X84" s="26">
        <f>shipping_compact!I$17</f>
        <v>0</v>
      </c>
      <c r="Y84" s="26">
        <f>shipping_compact!J$17</f>
        <v>0.04</v>
      </c>
      <c r="Z84" s="52">
        <f>shipping_compact!L$17</f>
        <v>2.2101939866396524E-4</v>
      </c>
      <c r="AA84">
        <f>shipping_compact!D$18</f>
        <v>1418767</v>
      </c>
      <c r="AB84">
        <f>shipping_compact!F$18</f>
        <v>30</v>
      </c>
      <c r="AC84">
        <f>shipping_compact!G$18</f>
        <v>0.996</v>
      </c>
      <c r="AD84">
        <f>shipping_compact!H$18</f>
        <v>0.68500000000000005</v>
      </c>
      <c r="AE84">
        <f>shipping_compact!J$18</f>
        <v>4.2999999999999997E-2</v>
      </c>
      <c r="AF84">
        <f>shipping_compact!K$18</f>
        <v>0</v>
      </c>
    </row>
    <row r="85" spans="1:32" x14ac:dyDescent="0.35">
      <c r="A85" t="s">
        <v>389</v>
      </c>
      <c r="B85" t="s">
        <v>520</v>
      </c>
      <c r="C85" t="str">
        <f t="shared" si="1"/>
        <v>nh3_terminal_NA-TTO</v>
      </c>
      <c r="D85" t="s">
        <v>193</v>
      </c>
      <c r="E85" s="22">
        <v>10.183118159999999</v>
      </c>
      <c r="F85" s="22">
        <v>-61.6857033</v>
      </c>
      <c r="G85" s="23" t="s">
        <v>129</v>
      </c>
      <c r="H85">
        <f>shipping_compact!D$12</f>
        <v>5986780</v>
      </c>
      <c r="I85">
        <f>shipping_compact!E$12</f>
        <v>6000</v>
      </c>
      <c r="J85">
        <f>shipping_compact!F$12</f>
        <v>30</v>
      </c>
      <c r="K85">
        <f>shipping_compact!G$12</f>
        <v>0.85</v>
      </c>
      <c r="L85">
        <f>shipping_compact!H$12</f>
        <v>0.99199999999999999</v>
      </c>
      <c r="M85">
        <f>shipping_compact!J$12</f>
        <v>0.05</v>
      </c>
      <c r="N85">
        <f>shipping_compact!K$12</f>
        <v>0.28720000000000001</v>
      </c>
      <c r="O85" s="26">
        <f>shipping_compact!D$16</f>
        <v>293456.89305233641</v>
      </c>
      <c r="P85" s="26">
        <f>shipping_compact!F$16</f>
        <v>30</v>
      </c>
      <c r="Q85" s="26">
        <f>shipping_compact!G$16</f>
        <v>1</v>
      </c>
      <c r="R85" s="24">
        <f>shipping_compact!J$16</f>
        <v>0.04</v>
      </c>
      <c r="S85" s="24">
        <f>shipping_compact!L$16</f>
        <v>0</v>
      </c>
      <c r="T85" s="26">
        <f>shipping_compact!D$17</f>
        <v>6181584.9056603797</v>
      </c>
      <c r="U85" s="26">
        <f>shipping_compact!E$17</f>
        <v>4380</v>
      </c>
      <c r="V85" s="26">
        <f>shipping_compact!F$17</f>
        <v>25</v>
      </c>
      <c r="W85" s="26">
        <f>shipping_compact!G$17</f>
        <v>1</v>
      </c>
      <c r="X85" s="26">
        <f>shipping_compact!I$17</f>
        <v>0</v>
      </c>
      <c r="Y85" s="26">
        <f>shipping_compact!J$17</f>
        <v>0.04</v>
      </c>
      <c r="Z85" s="52">
        <f>shipping_compact!L$17</f>
        <v>2.2101939866396524E-4</v>
      </c>
      <c r="AA85">
        <f>shipping_compact!D$18</f>
        <v>1418767</v>
      </c>
      <c r="AB85">
        <f>shipping_compact!F$18</f>
        <v>30</v>
      </c>
      <c r="AC85">
        <f>shipping_compact!G$18</f>
        <v>0.996</v>
      </c>
      <c r="AD85">
        <f>shipping_compact!H$18</f>
        <v>0.68500000000000005</v>
      </c>
      <c r="AE85">
        <f>shipping_compact!J$18</f>
        <v>4.2999999999999997E-2</v>
      </c>
      <c r="AF85">
        <f>shipping_compact!K$18</f>
        <v>0</v>
      </c>
    </row>
    <row r="86" spans="1:32" x14ac:dyDescent="0.35">
      <c r="A86" t="s">
        <v>390</v>
      </c>
      <c r="B86" t="s">
        <v>520</v>
      </c>
      <c r="C86" t="str">
        <f t="shared" si="1"/>
        <v>nh3_terminal_SA-BRA-SE</v>
      </c>
      <c r="D86" t="s">
        <v>171</v>
      </c>
      <c r="E86" s="22">
        <v>-22.95599094</v>
      </c>
      <c r="F86" s="22">
        <v>-43.05571612</v>
      </c>
      <c r="G86" s="23" t="s">
        <v>129</v>
      </c>
      <c r="H86">
        <f>shipping_compact!D$12</f>
        <v>5986780</v>
      </c>
      <c r="I86">
        <f>shipping_compact!E$12</f>
        <v>6000</v>
      </c>
      <c r="J86">
        <f>shipping_compact!F$12</f>
        <v>30</v>
      </c>
      <c r="K86">
        <f>shipping_compact!G$12</f>
        <v>0.85</v>
      </c>
      <c r="L86">
        <f>shipping_compact!H$12</f>
        <v>0.99199999999999999</v>
      </c>
      <c r="M86">
        <f>shipping_compact!J$12</f>
        <v>0.05</v>
      </c>
      <c r="N86">
        <f>shipping_compact!K$12</f>
        <v>0.28720000000000001</v>
      </c>
      <c r="O86" s="26">
        <f>shipping_compact!D$16</f>
        <v>293456.89305233641</v>
      </c>
      <c r="P86" s="26">
        <f>shipping_compact!F$16</f>
        <v>30</v>
      </c>
      <c r="Q86" s="26">
        <f>shipping_compact!G$16</f>
        <v>1</v>
      </c>
      <c r="R86" s="24">
        <f>shipping_compact!J$16</f>
        <v>0.04</v>
      </c>
      <c r="S86" s="24">
        <f>shipping_compact!L$16</f>
        <v>0</v>
      </c>
      <c r="T86" s="26">
        <f>shipping_compact!D$17</f>
        <v>6181584.9056603797</v>
      </c>
      <c r="U86" s="26">
        <f>shipping_compact!E$17</f>
        <v>4380</v>
      </c>
      <c r="V86" s="26">
        <f>shipping_compact!F$17</f>
        <v>25</v>
      </c>
      <c r="W86" s="26">
        <f>shipping_compact!G$17</f>
        <v>1</v>
      </c>
      <c r="X86" s="26">
        <f>shipping_compact!I$17</f>
        <v>0</v>
      </c>
      <c r="Y86" s="26">
        <f>shipping_compact!J$17</f>
        <v>0.04</v>
      </c>
      <c r="Z86" s="52">
        <f>shipping_compact!L$17</f>
        <v>2.2101939866396524E-4</v>
      </c>
      <c r="AA86">
        <f>shipping_compact!D$18</f>
        <v>1418767</v>
      </c>
      <c r="AB86">
        <f>shipping_compact!F$18</f>
        <v>30</v>
      </c>
      <c r="AC86">
        <f>shipping_compact!G$18</f>
        <v>0.996</v>
      </c>
      <c r="AD86">
        <f>shipping_compact!H$18</f>
        <v>0.68500000000000005</v>
      </c>
      <c r="AE86">
        <f>shipping_compact!J$18</f>
        <v>4.2999999999999997E-2</v>
      </c>
      <c r="AF86">
        <f>shipping_compact!K$18</f>
        <v>0</v>
      </c>
    </row>
    <row r="87" spans="1:32" x14ac:dyDescent="0.35">
      <c r="A87" t="s">
        <v>390</v>
      </c>
      <c r="B87" t="s">
        <v>520</v>
      </c>
      <c r="C87" t="str">
        <f t="shared" si="1"/>
        <v>nh3_terminal_SA-BRA-SE</v>
      </c>
      <c r="D87" t="s">
        <v>391</v>
      </c>
      <c r="E87" s="22">
        <v>-22.95599094</v>
      </c>
      <c r="F87" s="22">
        <v>-43.05571612</v>
      </c>
      <c r="G87" s="23" t="s">
        <v>129</v>
      </c>
      <c r="H87">
        <f>shipping_compact!D$12</f>
        <v>5986780</v>
      </c>
      <c r="I87">
        <f>shipping_compact!E$12</f>
        <v>6000</v>
      </c>
      <c r="J87">
        <f>shipping_compact!F$12</f>
        <v>30</v>
      </c>
      <c r="K87">
        <f>shipping_compact!G$12</f>
        <v>0.85</v>
      </c>
      <c r="L87">
        <f>shipping_compact!H$12</f>
        <v>0.99199999999999999</v>
      </c>
      <c r="M87">
        <f>shipping_compact!J$12</f>
        <v>0.05</v>
      </c>
      <c r="N87">
        <f>shipping_compact!K$12</f>
        <v>0.28720000000000001</v>
      </c>
      <c r="O87" s="26">
        <f>shipping_compact!D$16</f>
        <v>293456.89305233641</v>
      </c>
      <c r="P87" s="26">
        <f>shipping_compact!F$16</f>
        <v>30</v>
      </c>
      <c r="Q87" s="26">
        <f>shipping_compact!G$16</f>
        <v>1</v>
      </c>
      <c r="R87" s="24">
        <f>shipping_compact!J$16</f>
        <v>0.04</v>
      </c>
      <c r="S87" s="24">
        <f>shipping_compact!L$16</f>
        <v>0</v>
      </c>
      <c r="T87" s="26">
        <f>shipping_compact!D$17</f>
        <v>6181584.9056603797</v>
      </c>
      <c r="U87" s="26">
        <f>shipping_compact!E$17</f>
        <v>4380</v>
      </c>
      <c r="V87" s="26">
        <f>shipping_compact!F$17</f>
        <v>25</v>
      </c>
      <c r="W87" s="26">
        <f>shipping_compact!G$17</f>
        <v>1</v>
      </c>
      <c r="X87" s="26">
        <f>shipping_compact!I$17</f>
        <v>0</v>
      </c>
      <c r="Y87" s="26">
        <f>shipping_compact!J$17</f>
        <v>0.04</v>
      </c>
      <c r="Z87" s="52">
        <f>shipping_compact!L$17</f>
        <v>2.2101939866396524E-4</v>
      </c>
      <c r="AA87">
        <f>shipping_compact!D$18</f>
        <v>1418767</v>
      </c>
      <c r="AB87">
        <f>shipping_compact!F$18</f>
        <v>30</v>
      </c>
      <c r="AC87">
        <f>shipping_compact!G$18</f>
        <v>0.996</v>
      </c>
      <c r="AD87">
        <f>shipping_compact!H$18</f>
        <v>0.68500000000000005</v>
      </c>
      <c r="AE87">
        <f>shipping_compact!J$18</f>
        <v>4.2999999999999997E-2</v>
      </c>
      <c r="AF87">
        <f>shipping_compact!K$18</f>
        <v>0</v>
      </c>
    </row>
    <row r="88" spans="1:32" x14ac:dyDescent="0.35">
      <c r="A88" t="s">
        <v>392</v>
      </c>
      <c r="B88" t="s">
        <v>520</v>
      </c>
      <c r="C88" t="str">
        <f t="shared" si="1"/>
        <v>nh3_terminal_SA-ARG</v>
      </c>
      <c r="D88" t="s">
        <v>168</v>
      </c>
      <c r="E88" s="22">
        <v>-38.78344354</v>
      </c>
      <c r="F88" s="22">
        <v>-62.285329240000003</v>
      </c>
      <c r="G88" s="23" t="s">
        <v>129</v>
      </c>
      <c r="H88">
        <f>shipping_compact!D$12</f>
        <v>5986780</v>
      </c>
      <c r="I88">
        <f>shipping_compact!E$12</f>
        <v>6000</v>
      </c>
      <c r="J88">
        <f>shipping_compact!F$12</f>
        <v>30</v>
      </c>
      <c r="K88">
        <f>shipping_compact!G$12</f>
        <v>0.85</v>
      </c>
      <c r="L88">
        <f>shipping_compact!H$12</f>
        <v>0.99199999999999999</v>
      </c>
      <c r="M88">
        <f>shipping_compact!J$12</f>
        <v>0.05</v>
      </c>
      <c r="N88">
        <f>shipping_compact!K$12</f>
        <v>0.28720000000000001</v>
      </c>
      <c r="O88" s="26">
        <f>shipping_compact!D$16</f>
        <v>293456.89305233641</v>
      </c>
      <c r="P88" s="26">
        <f>shipping_compact!F$16</f>
        <v>30</v>
      </c>
      <c r="Q88" s="26">
        <f>shipping_compact!G$16</f>
        <v>1</v>
      </c>
      <c r="R88" s="24">
        <f>shipping_compact!J$16</f>
        <v>0.04</v>
      </c>
      <c r="S88" s="24">
        <f>shipping_compact!L$16</f>
        <v>0</v>
      </c>
      <c r="T88" s="26">
        <f>shipping_compact!D$17</f>
        <v>6181584.9056603797</v>
      </c>
      <c r="U88" s="26">
        <f>shipping_compact!E$17</f>
        <v>4380</v>
      </c>
      <c r="V88" s="26">
        <f>shipping_compact!F$17</f>
        <v>25</v>
      </c>
      <c r="W88" s="26">
        <f>shipping_compact!G$17</f>
        <v>1</v>
      </c>
      <c r="X88" s="26">
        <f>shipping_compact!I$17</f>
        <v>0</v>
      </c>
      <c r="Y88" s="26">
        <f>shipping_compact!J$17</f>
        <v>0.04</v>
      </c>
      <c r="Z88" s="52">
        <f>shipping_compact!L$17</f>
        <v>2.2101939866396524E-4</v>
      </c>
      <c r="AA88">
        <f>shipping_compact!D$18</f>
        <v>1418767</v>
      </c>
      <c r="AB88">
        <f>shipping_compact!F$18</f>
        <v>30</v>
      </c>
      <c r="AC88">
        <f>shipping_compact!G$18</f>
        <v>0.996</v>
      </c>
      <c r="AD88">
        <f>shipping_compact!H$18</f>
        <v>0.68500000000000005</v>
      </c>
      <c r="AE88">
        <f>shipping_compact!J$18</f>
        <v>4.2999999999999997E-2</v>
      </c>
      <c r="AF88">
        <f>shipping_compact!K$18</f>
        <v>0</v>
      </c>
    </row>
    <row r="89" spans="1:32" x14ac:dyDescent="0.35">
      <c r="A89" t="s">
        <v>393</v>
      </c>
      <c r="B89" t="s">
        <v>520</v>
      </c>
      <c r="C89" t="str">
        <f t="shared" si="1"/>
        <v>nh3_terminal_SA-CHL</v>
      </c>
      <c r="D89" t="s">
        <v>173</v>
      </c>
      <c r="E89" s="22">
        <v>-36.744015390000001</v>
      </c>
      <c r="F89" s="22">
        <v>-73.124998890000001</v>
      </c>
      <c r="G89" s="23" t="s">
        <v>129</v>
      </c>
      <c r="H89">
        <f>shipping_compact!D$12</f>
        <v>5986780</v>
      </c>
      <c r="I89">
        <f>shipping_compact!E$12</f>
        <v>6000</v>
      </c>
      <c r="J89">
        <f>shipping_compact!F$12</f>
        <v>30</v>
      </c>
      <c r="K89">
        <f>shipping_compact!G$12</f>
        <v>0.85</v>
      </c>
      <c r="L89">
        <f>shipping_compact!H$12</f>
        <v>0.99199999999999999</v>
      </c>
      <c r="M89">
        <f>shipping_compact!J$12</f>
        <v>0.05</v>
      </c>
      <c r="N89">
        <f>shipping_compact!K$12</f>
        <v>0.28720000000000001</v>
      </c>
      <c r="O89" s="26">
        <f>shipping_compact!D$16</f>
        <v>293456.89305233641</v>
      </c>
      <c r="P89" s="26">
        <f>shipping_compact!F$16</f>
        <v>30</v>
      </c>
      <c r="Q89" s="26">
        <f>shipping_compact!G$16</f>
        <v>1</v>
      </c>
      <c r="R89" s="24">
        <f>shipping_compact!J$16</f>
        <v>0.04</v>
      </c>
      <c r="S89" s="24">
        <f>shipping_compact!L$16</f>
        <v>0</v>
      </c>
      <c r="T89" s="26">
        <f>shipping_compact!D$17</f>
        <v>6181584.9056603797</v>
      </c>
      <c r="U89" s="26">
        <f>shipping_compact!E$17</f>
        <v>4380</v>
      </c>
      <c r="V89" s="26">
        <f>shipping_compact!F$17</f>
        <v>25</v>
      </c>
      <c r="W89" s="26">
        <f>shipping_compact!G$17</f>
        <v>1</v>
      </c>
      <c r="X89" s="26">
        <f>shipping_compact!I$17</f>
        <v>0</v>
      </c>
      <c r="Y89" s="26">
        <f>shipping_compact!J$17</f>
        <v>0.04</v>
      </c>
      <c r="Z89" s="52">
        <f>shipping_compact!L$17</f>
        <v>2.2101939866396524E-4</v>
      </c>
      <c r="AA89">
        <f>shipping_compact!D$18</f>
        <v>1418767</v>
      </c>
      <c r="AB89">
        <f>shipping_compact!F$18</f>
        <v>30</v>
      </c>
      <c r="AC89">
        <f>shipping_compact!G$18</f>
        <v>0.996</v>
      </c>
      <c r="AD89">
        <f>shipping_compact!H$18</f>
        <v>0.68500000000000005</v>
      </c>
      <c r="AE89">
        <f>shipping_compact!J$18</f>
        <v>4.2999999999999997E-2</v>
      </c>
      <c r="AF89">
        <f>shipping_compact!K$18</f>
        <v>0</v>
      </c>
    </row>
    <row r="90" spans="1:32" x14ac:dyDescent="0.35">
      <c r="A90" t="s">
        <v>394</v>
      </c>
      <c r="B90" t="s">
        <v>520</v>
      </c>
      <c r="C90" t="str">
        <f t="shared" si="1"/>
        <v>nh3_terminal_SA-PER</v>
      </c>
      <c r="D90" t="s">
        <v>188</v>
      </c>
      <c r="E90" s="22">
        <v>-11.81733442</v>
      </c>
      <c r="F90" s="22">
        <v>-77.17339115</v>
      </c>
      <c r="G90" s="23" t="s">
        <v>129</v>
      </c>
      <c r="H90">
        <f>shipping_compact!D$12</f>
        <v>5986780</v>
      </c>
      <c r="I90">
        <f>shipping_compact!E$12</f>
        <v>6000</v>
      </c>
      <c r="J90">
        <f>shipping_compact!F$12</f>
        <v>30</v>
      </c>
      <c r="K90">
        <f>shipping_compact!G$12</f>
        <v>0.85</v>
      </c>
      <c r="L90">
        <f>shipping_compact!H$12</f>
        <v>0.99199999999999999</v>
      </c>
      <c r="M90">
        <f>shipping_compact!J$12</f>
        <v>0.05</v>
      </c>
      <c r="N90">
        <f>shipping_compact!K$12</f>
        <v>0.28720000000000001</v>
      </c>
      <c r="O90" s="26">
        <f>shipping_compact!D$16</f>
        <v>293456.89305233641</v>
      </c>
      <c r="P90" s="26">
        <f>shipping_compact!F$16</f>
        <v>30</v>
      </c>
      <c r="Q90" s="26">
        <f>shipping_compact!G$16</f>
        <v>1</v>
      </c>
      <c r="R90" s="24">
        <f>shipping_compact!J$16</f>
        <v>0.04</v>
      </c>
      <c r="S90" s="24">
        <f>shipping_compact!L$16</f>
        <v>0</v>
      </c>
      <c r="T90" s="26">
        <f>shipping_compact!D$17</f>
        <v>6181584.9056603797</v>
      </c>
      <c r="U90" s="26">
        <f>shipping_compact!E$17</f>
        <v>4380</v>
      </c>
      <c r="V90" s="26">
        <f>shipping_compact!F$17</f>
        <v>25</v>
      </c>
      <c r="W90" s="26">
        <f>shipping_compact!G$17</f>
        <v>1</v>
      </c>
      <c r="X90" s="26">
        <f>shipping_compact!I$17</f>
        <v>0</v>
      </c>
      <c r="Y90" s="26">
        <f>shipping_compact!J$17</f>
        <v>0.04</v>
      </c>
      <c r="Z90" s="52">
        <f>shipping_compact!L$17</f>
        <v>2.2101939866396524E-4</v>
      </c>
      <c r="AA90">
        <f>shipping_compact!D$18</f>
        <v>1418767</v>
      </c>
      <c r="AB90">
        <f>shipping_compact!F$18</f>
        <v>30</v>
      </c>
      <c r="AC90">
        <f>shipping_compact!G$18</f>
        <v>0.996</v>
      </c>
      <c r="AD90">
        <f>shipping_compact!H$18</f>
        <v>0.68500000000000005</v>
      </c>
      <c r="AE90">
        <f>shipping_compact!J$18</f>
        <v>4.2999999999999997E-2</v>
      </c>
      <c r="AF90">
        <f>shipping_compact!K$18</f>
        <v>0</v>
      </c>
    </row>
    <row r="91" spans="1:32" x14ac:dyDescent="0.35">
      <c r="A91" t="s">
        <v>395</v>
      </c>
      <c r="B91" t="s">
        <v>520</v>
      </c>
      <c r="C91" t="str">
        <f t="shared" si="1"/>
        <v>nh3_terminal_AF-DZA</v>
      </c>
      <c r="D91" t="s">
        <v>251</v>
      </c>
      <c r="E91" s="22">
        <v>36.885833669999997</v>
      </c>
      <c r="F91" s="22">
        <v>6.9043777879999997</v>
      </c>
      <c r="G91" s="23" t="s">
        <v>129</v>
      </c>
      <c r="H91">
        <f>shipping_compact!D$12</f>
        <v>5986780</v>
      </c>
      <c r="I91">
        <f>shipping_compact!E$12</f>
        <v>6000</v>
      </c>
      <c r="J91">
        <f>shipping_compact!F$12</f>
        <v>30</v>
      </c>
      <c r="K91">
        <f>shipping_compact!G$12</f>
        <v>0.85</v>
      </c>
      <c r="L91">
        <f>shipping_compact!H$12</f>
        <v>0.99199999999999999</v>
      </c>
      <c r="M91">
        <f>shipping_compact!J$12</f>
        <v>0.05</v>
      </c>
      <c r="N91">
        <f>shipping_compact!K$12</f>
        <v>0.28720000000000001</v>
      </c>
      <c r="O91" s="26">
        <f>shipping_compact!D$16</f>
        <v>293456.89305233641</v>
      </c>
      <c r="P91" s="26">
        <f>shipping_compact!F$16</f>
        <v>30</v>
      </c>
      <c r="Q91" s="26">
        <f>shipping_compact!G$16</f>
        <v>1</v>
      </c>
      <c r="R91" s="24">
        <f>shipping_compact!J$16</f>
        <v>0.04</v>
      </c>
      <c r="S91" s="24">
        <f>shipping_compact!L$16</f>
        <v>0</v>
      </c>
      <c r="T91" s="26">
        <f>shipping_compact!D$17</f>
        <v>6181584.9056603797</v>
      </c>
      <c r="U91" s="26">
        <f>shipping_compact!E$17</f>
        <v>4380</v>
      </c>
      <c r="V91" s="26">
        <f>shipping_compact!F$17</f>
        <v>25</v>
      </c>
      <c r="W91" s="26">
        <f>shipping_compact!G$17</f>
        <v>1</v>
      </c>
      <c r="X91" s="26">
        <f>shipping_compact!I$17</f>
        <v>0</v>
      </c>
      <c r="Y91" s="26">
        <f>shipping_compact!J$17</f>
        <v>0.04</v>
      </c>
      <c r="Z91" s="52">
        <f>shipping_compact!L$17</f>
        <v>2.2101939866396524E-4</v>
      </c>
      <c r="AA91">
        <f>shipping_compact!D$18</f>
        <v>1418767</v>
      </c>
      <c r="AB91">
        <f>shipping_compact!F$18</f>
        <v>30</v>
      </c>
      <c r="AC91">
        <f>shipping_compact!G$18</f>
        <v>0.996</v>
      </c>
      <c r="AD91">
        <f>shipping_compact!H$18</f>
        <v>0.68500000000000005</v>
      </c>
      <c r="AE91">
        <f>shipping_compact!J$18</f>
        <v>4.2999999999999997E-2</v>
      </c>
      <c r="AF91">
        <f>shipping_compact!K$18</f>
        <v>0</v>
      </c>
    </row>
    <row r="92" spans="1:32" x14ac:dyDescent="0.35">
      <c r="A92" t="s">
        <v>396</v>
      </c>
      <c r="B92" t="s">
        <v>520</v>
      </c>
      <c r="C92" t="str">
        <f t="shared" si="1"/>
        <v>nh3_terminal_AF-SEN</v>
      </c>
      <c r="D92" t="s">
        <v>276</v>
      </c>
      <c r="E92" s="22">
        <v>14.73659842</v>
      </c>
      <c r="F92" s="22">
        <v>-17.481210319999999</v>
      </c>
      <c r="G92" s="23" t="s">
        <v>129</v>
      </c>
      <c r="H92">
        <f>shipping_compact!D$12</f>
        <v>5986780</v>
      </c>
      <c r="I92">
        <f>shipping_compact!E$12</f>
        <v>6000</v>
      </c>
      <c r="J92">
        <f>shipping_compact!F$12</f>
        <v>30</v>
      </c>
      <c r="K92">
        <f>shipping_compact!G$12</f>
        <v>0.85</v>
      </c>
      <c r="L92">
        <f>shipping_compact!H$12</f>
        <v>0.99199999999999999</v>
      </c>
      <c r="M92">
        <f>shipping_compact!J$12</f>
        <v>0.05</v>
      </c>
      <c r="N92">
        <f>shipping_compact!K$12</f>
        <v>0.28720000000000001</v>
      </c>
      <c r="O92" s="26">
        <f>shipping_compact!D$16</f>
        <v>293456.89305233641</v>
      </c>
      <c r="P92" s="26">
        <f>shipping_compact!F$16</f>
        <v>30</v>
      </c>
      <c r="Q92" s="26">
        <f>shipping_compact!G$16</f>
        <v>1</v>
      </c>
      <c r="R92" s="24">
        <f>shipping_compact!J$16</f>
        <v>0.04</v>
      </c>
      <c r="S92" s="24">
        <f>shipping_compact!L$16</f>
        <v>0</v>
      </c>
      <c r="T92" s="26">
        <f>shipping_compact!D$17</f>
        <v>6181584.9056603797</v>
      </c>
      <c r="U92" s="26">
        <f>shipping_compact!E$17</f>
        <v>4380</v>
      </c>
      <c r="V92" s="26">
        <f>shipping_compact!F$17</f>
        <v>25</v>
      </c>
      <c r="W92" s="26">
        <f>shipping_compact!G$17</f>
        <v>1</v>
      </c>
      <c r="X92" s="26">
        <f>shipping_compact!I$17</f>
        <v>0</v>
      </c>
      <c r="Y92" s="26">
        <f>shipping_compact!J$17</f>
        <v>0.04</v>
      </c>
      <c r="Z92" s="52">
        <f>shipping_compact!L$17</f>
        <v>2.2101939866396524E-4</v>
      </c>
      <c r="AA92">
        <f>shipping_compact!D$18</f>
        <v>1418767</v>
      </c>
      <c r="AB92">
        <f>shipping_compact!F$18</f>
        <v>30</v>
      </c>
      <c r="AC92">
        <f>shipping_compact!G$18</f>
        <v>0.996</v>
      </c>
      <c r="AD92">
        <f>shipping_compact!H$18</f>
        <v>0.68500000000000005</v>
      </c>
      <c r="AE92">
        <f>shipping_compact!J$18</f>
        <v>4.2999999999999997E-2</v>
      </c>
      <c r="AF92">
        <f>shipping_compact!K$18</f>
        <v>0</v>
      </c>
    </row>
    <row r="93" spans="1:32" x14ac:dyDescent="0.35">
      <c r="A93" t="s">
        <v>397</v>
      </c>
      <c r="B93" t="s">
        <v>520</v>
      </c>
      <c r="C93" t="str">
        <f t="shared" si="1"/>
        <v>nh3_terminal_AF-NGA</v>
      </c>
      <c r="D93" t="s">
        <v>273</v>
      </c>
      <c r="E93" s="22">
        <v>6.4294702499999996</v>
      </c>
      <c r="F93" s="22">
        <v>3.4963682029999998</v>
      </c>
      <c r="G93" s="23" t="s">
        <v>129</v>
      </c>
      <c r="H93">
        <f>shipping_compact!D$12</f>
        <v>5986780</v>
      </c>
      <c r="I93">
        <f>shipping_compact!E$12</f>
        <v>6000</v>
      </c>
      <c r="J93">
        <f>shipping_compact!F$12</f>
        <v>30</v>
      </c>
      <c r="K93">
        <f>shipping_compact!G$12</f>
        <v>0.85</v>
      </c>
      <c r="L93">
        <f>shipping_compact!H$12</f>
        <v>0.99199999999999999</v>
      </c>
      <c r="M93">
        <f>shipping_compact!J$12</f>
        <v>0.05</v>
      </c>
      <c r="N93">
        <f>shipping_compact!K$12</f>
        <v>0.28720000000000001</v>
      </c>
      <c r="O93" s="26">
        <f>shipping_compact!D$16</f>
        <v>293456.89305233641</v>
      </c>
      <c r="P93" s="26">
        <f>shipping_compact!F$16</f>
        <v>30</v>
      </c>
      <c r="Q93" s="26">
        <f>shipping_compact!G$16</f>
        <v>1</v>
      </c>
      <c r="R93" s="24">
        <f>shipping_compact!J$16</f>
        <v>0.04</v>
      </c>
      <c r="S93" s="24">
        <f>shipping_compact!L$16</f>
        <v>0</v>
      </c>
      <c r="T93" s="26">
        <f>shipping_compact!D$17</f>
        <v>6181584.9056603797</v>
      </c>
      <c r="U93" s="26">
        <f>shipping_compact!E$17</f>
        <v>4380</v>
      </c>
      <c r="V93" s="26">
        <f>shipping_compact!F$17</f>
        <v>25</v>
      </c>
      <c r="W93" s="26">
        <f>shipping_compact!G$17</f>
        <v>1</v>
      </c>
      <c r="X93" s="26">
        <f>shipping_compact!I$17</f>
        <v>0</v>
      </c>
      <c r="Y93" s="26">
        <f>shipping_compact!J$17</f>
        <v>0.04</v>
      </c>
      <c r="Z93" s="52">
        <f>shipping_compact!L$17</f>
        <v>2.2101939866396524E-4</v>
      </c>
      <c r="AA93">
        <f>shipping_compact!D$18</f>
        <v>1418767</v>
      </c>
      <c r="AB93">
        <f>shipping_compact!F$18</f>
        <v>30</v>
      </c>
      <c r="AC93">
        <f>shipping_compact!G$18</f>
        <v>0.996</v>
      </c>
      <c r="AD93">
        <f>shipping_compact!H$18</f>
        <v>0.68500000000000005</v>
      </c>
      <c r="AE93">
        <f>shipping_compact!J$18</f>
        <v>4.2999999999999997E-2</v>
      </c>
      <c r="AF93">
        <f>shipping_compact!K$18</f>
        <v>0</v>
      </c>
    </row>
    <row r="94" spans="1:32" x14ac:dyDescent="0.35">
      <c r="A94" t="s">
        <v>398</v>
      </c>
      <c r="B94" t="s">
        <v>520</v>
      </c>
      <c r="C94" t="str">
        <f t="shared" si="1"/>
        <v>nh3_terminal_AF-AGO</v>
      </c>
      <c r="D94" t="s">
        <v>240</v>
      </c>
      <c r="E94" s="22">
        <v>-6.118802198</v>
      </c>
      <c r="F94" s="22">
        <v>12.33208099</v>
      </c>
      <c r="G94" s="23" t="s">
        <v>129</v>
      </c>
      <c r="H94">
        <f>shipping_compact!D$12</f>
        <v>5986780</v>
      </c>
      <c r="I94">
        <f>shipping_compact!E$12</f>
        <v>6000</v>
      </c>
      <c r="J94">
        <f>shipping_compact!F$12</f>
        <v>30</v>
      </c>
      <c r="K94">
        <f>shipping_compact!G$12</f>
        <v>0.85</v>
      </c>
      <c r="L94">
        <f>shipping_compact!H$12</f>
        <v>0.99199999999999999</v>
      </c>
      <c r="M94">
        <f>shipping_compact!J$12</f>
        <v>0.05</v>
      </c>
      <c r="N94">
        <f>shipping_compact!K$12</f>
        <v>0.28720000000000001</v>
      </c>
      <c r="O94" s="26">
        <f>shipping_compact!D$16</f>
        <v>293456.89305233641</v>
      </c>
      <c r="P94" s="26">
        <f>shipping_compact!F$16</f>
        <v>30</v>
      </c>
      <c r="Q94" s="26">
        <f>shipping_compact!G$16</f>
        <v>1</v>
      </c>
      <c r="R94" s="24">
        <f>shipping_compact!J$16</f>
        <v>0.04</v>
      </c>
      <c r="S94" s="24">
        <f>shipping_compact!L$16</f>
        <v>0</v>
      </c>
      <c r="T94" s="26">
        <f>shipping_compact!D$17</f>
        <v>6181584.9056603797</v>
      </c>
      <c r="U94" s="26">
        <f>shipping_compact!E$17</f>
        <v>4380</v>
      </c>
      <c r="V94" s="26">
        <f>shipping_compact!F$17</f>
        <v>25</v>
      </c>
      <c r="W94" s="26">
        <f>shipping_compact!G$17</f>
        <v>1</v>
      </c>
      <c r="X94" s="26">
        <f>shipping_compact!I$17</f>
        <v>0</v>
      </c>
      <c r="Y94" s="26">
        <f>shipping_compact!J$17</f>
        <v>0.04</v>
      </c>
      <c r="Z94" s="52">
        <f>shipping_compact!L$17</f>
        <v>2.2101939866396524E-4</v>
      </c>
      <c r="AA94">
        <f>shipping_compact!D$18</f>
        <v>1418767</v>
      </c>
      <c r="AB94">
        <f>shipping_compact!F$18</f>
        <v>30</v>
      </c>
      <c r="AC94">
        <f>shipping_compact!G$18</f>
        <v>0.996</v>
      </c>
      <c r="AD94">
        <f>shipping_compact!H$18</f>
        <v>0.68500000000000005</v>
      </c>
      <c r="AE94">
        <f>shipping_compact!J$18</f>
        <v>4.2999999999999997E-2</v>
      </c>
      <c r="AF94">
        <f>shipping_compact!K$18</f>
        <v>0</v>
      </c>
    </row>
    <row r="95" spans="1:32" x14ac:dyDescent="0.35">
      <c r="A95" t="s">
        <v>399</v>
      </c>
      <c r="B95" t="s">
        <v>520</v>
      </c>
      <c r="C95" t="str">
        <f t="shared" si="1"/>
        <v>nh3_terminal_AF-ZAF</v>
      </c>
      <c r="D95" t="s">
        <v>285</v>
      </c>
      <c r="E95" s="22">
        <v>-33.731549340000001</v>
      </c>
      <c r="F95" s="22">
        <v>18.4458488</v>
      </c>
      <c r="G95" s="23" t="s">
        <v>129</v>
      </c>
      <c r="H95">
        <f>shipping_compact!D$12</f>
        <v>5986780</v>
      </c>
      <c r="I95">
        <f>shipping_compact!E$12</f>
        <v>6000</v>
      </c>
      <c r="J95">
        <f>shipping_compact!F$12</f>
        <v>30</v>
      </c>
      <c r="K95">
        <f>shipping_compact!G$12</f>
        <v>0.85</v>
      </c>
      <c r="L95">
        <f>shipping_compact!H$12</f>
        <v>0.99199999999999999</v>
      </c>
      <c r="M95">
        <f>shipping_compact!J$12</f>
        <v>0.05</v>
      </c>
      <c r="N95">
        <f>shipping_compact!K$12</f>
        <v>0.28720000000000001</v>
      </c>
      <c r="O95" s="26">
        <f>shipping_compact!D$16</f>
        <v>293456.89305233641</v>
      </c>
      <c r="P95" s="26">
        <f>shipping_compact!F$16</f>
        <v>30</v>
      </c>
      <c r="Q95" s="26">
        <f>shipping_compact!G$16</f>
        <v>1</v>
      </c>
      <c r="R95" s="24">
        <f>shipping_compact!J$16</f>
        <v>0.04</v>
      </c>
      <c r="S95" s="24">
        <f>shipping_compact!L$16</f>
        <v>0</v>
      </c>
      <c r="T95" s="26">
        <f>shipping_compact!D$17</f>
        <v>6181584.9056603797</v>
      </c>
      <c r="U95" s="26">
        <f>shipping_compact!E$17</f>
        <v>4380</v>
      </c>
      <c r="V95" s="26">
        <f>shipping_compact!F$17</f>
        <v>25</v>
      </c>
      <c r="W95" s="26">
        <f>shipping_compact!G$17</f>
        <v>1</v>
      </c>
      <c r="X95" s="26">
        <f>shipping_compact!I$17</f>
        <v>0</v>
      </c>
      <c r="Y95" s="26">
        <f>shipping_compact!J$17</f>
        <v>0.04</v>
      </c>
      <c r="Z95" s="52">
        <f>shipping_compact!L$17</f>
        <v>2.2101939866396524E-4</v>
      </c>
      <c r="AA95">
        <f>shipping_compact!D$18</f>
        <v>1418767</v>
      </c>
      <c r="AB95">
        <f>shipping_compact!F$18</f>
        <v>30</v>
      </c>
      <c r="AC95">
        <f>shipping_compact!G$18</f>
        <v>0.996</v>
      </c>
      <c r="AD95">
        <f>shipping_compact!H$18</f>
        <v>0.68500000000000005</v>
      </c>
      <c r="AE95">
        <f>shipping_compact!J$18</f>
        <v>4.2999999999999997E-2</v>
      </c>
      <c r="AF95">
        <f>shipping_compact!K$18</f>
        <v>0</v>
      </c>
    </row>
    <row r="96" spans="1:32" x14ac:dyDescent="0.35">
      <c r="A96" t="s">
        <v>400</v>
      </c>
      <c r="B96" t="s">
        <v>520</v>
      </c>
      <c r="C96" t="str">
        <f t="shared" si="1"/>
        <v>nh3_terminal_AF-TZA</v>
      </c>
      <c r="D96" t="s">
        <v>283</v>
      </c>
      <c r="E96" s="22">
        <v>-9.9692840890000003</v>
      </c>
      <c r="F96" s="22">
        <v>39.704937809999997</v>
      </c>
      <c r="G96" s="23" t="s">
        <v>129</v>
      </c>
      <c r="H96">
        <f>shipping_compact!D$12</f>
        <v>5986780</v>
      </c>
      <c r="I96">
        <f>shipping_compact!E$12</f>
        <v>6000</v>
      </c>
      <c r="J96">
        <f>shipping_compact!F$12</f>
        <v>30</v>
      </c>
      <c r="K96">
        <f>shipping_compact!G$12</f>
        <v>0.85</v>
      </c>
      <c r="L96">
        <f>shipping_compact!H$12</f>
        <v>0.99199999999999999</v>
      </c>
      <c r="M96">
        <f>shipping_compact!J$12</f>
        <v>0.05</v>
      </c>
      <c r="N96">
        <f>shipping_compact!K$12</f>
        <v>0.28720000000000001</v>
      </c>
      <c r="O96" s="26">
        <f>shipping_compact!D$16</f>
        <v>293456.89305233641</v>
      </c>
      <c r="P96" s="26">
        <f>shipping_compact!F$16</f>
        <v>30</v>
      </c>
      <c r="Q96" s="26">
        <f>shipping_compact!G$16</f>
        <v>1</v>
      </c>
      <c r="R96" s="24">
        <f>shipping_compact!J$16</f>
        <v>0.04</v>
      </c>
      <c r="S96" s="24">
        <f>shipping_compact!L$16</f>
        <v>0</v>
      </c>
      <c r="T96" s="26">
        <f>shipping_compact!D$17</f>
        <v>6181584.9056603797</v>
      </c>
      <c r="U96" s="26">
        <f>shipping_compact!E$17</f>
        <v>4380</v>
      </c>
      <c r="V96" s="26">
        <f>shipping_compact!F$17</f>
        <v>25</v>
      </c>
      <c r="W96" s="26">
        <f>shipping_compact!G$17</f>
        <v>1</v>
      </c>
      <c r="X96" s="26">
        <f>shipping_compact!I$17</f>
        <v>0</v>
      </c>
      <c r="Y96" s="26">
        <f>shipping_compact!J$17</f>
        <v>0.04</v>
      </c>
      <c r="Z96" s="52">
        <f>shipping_compact!L$17</f>
        <v>2.2101939866396524E-4</v>
      </c>
      <c r="AA96">
        <f>shipping_compact!D$18</f>
        <v>1418767</v>
      </c>
      <c r="AB96">
        <f>shipping_compact!F$18</f>
        <v>30</v>
      </c>
      <c r="AC96">
        <f>shipping_compact!G$18</f>
        <v>0.996</v>
      </c>
      <c r="AD96">
        <f>shipping_compact!H$18</f>
        <v>0.68500000000000005</v>
      </c>
      <c r="AE96">
        <f>shipping_compact!J$18</f>
        <v>4.2999999999999997E-2</v>
      </c>
      <c r="AF96">
        <f>shipping_compact!K$18</f>
        <v>0</v>
      </c>
    </row>
    <row r="97" spans="1:32" x14ac:dyDescent="0.35">
      <c r="A97" t="s">
        <v>401</v>
      </c>
      <c r="B97" t="s">
        <v>520</v>
      </c>
      <c r="C97" t="str">
        <f t="shared" si="1"/>
        <v>nh3_terminal_AF-EGY</v>
      </c>
      <c r="D97" t="s">
        <v>252</v>
      </c>
      <c r="E97" s="22">
        <v>29.916288659999999</v>
      </c>
      <c r="F97" s="22">
        <v>32.449177310000003</v>
      </c>
      <c r="G97" s="23" t="s">
        <v>129</v>
      </c>
      <c r="H97">
        <f>shipping_compact!D$12</f>
        <v>5986780</v>
      </c>
      <c r="I97">
        <f>shipping_compact!E$12</f>
        <v>6000</v>
      </c>
      <c r="J97">
        <f>shipping_compact!F$12</f>
        <v>30</v>
      </c>
      <c r="K97">
        <f>shipping_compact!G$12</f>
        <v>0.85</v>
      </c>
      <c r="L97">
        <f>shipping_compact!H$12</f>
        <v>0.99199999999999999</v>
      </c>
      <c r="M97">
        <f>shipping_compact!J$12</f>
        <v>0.05</v>
      </c>
      <c r="N97">
        <f>shipping_compact!K$12</f>
        <v>0.28720000000000001</v>
      </c>
      <c r="O97" s="26">
        <f>shipping_compact!D$16</f>
        <v>293456.89305233641</v>
      </c>
      <c r="P97" s="26">
        <f>shipping_compact!F$16</f>
        <v>30</v>
      </c>
      <c r="Q97" s="26">
        <f>shipping_compact!G$16</f>
        <v>1</v>
      </c>
      <c r="R97" s="24">
        <f>shipping_compact!J$16</f>
        <v>0.04</v>
      </c>
      <c r="S97" s="24">
        <f>shipping_compact!L$16</f>
        <v>0</v>
      </c>
      <c r="T97" s="26">
        <f>shipping_compact!D$17</f>
        <v>6181584.9056603797</v>
      </c>
      <c r="U97" s="26">
        <f>shipping_compact!E$17</f>
        <v>4380</v>
      </c>
      <c r="V97" s="26">
        <f>shipping_compact!F$17</f>
        <v>25</v>
      </c>
      <c r="W97" s="26">
        <f>shipping_compact!G$17</f>
        <v>1</v>
      </c>
      <c r="X97" s="26">
        <f>shipping_compact!I$17</f>
        <v>0</v>
      </c>
      <c r="Y97" s="26">
        <f>shipping_compact!J$17</f>
        <v>0.04</v>
      </c>
      <c r="Z97" s="52">
        <f>shipping_compact!L$17</f>
        <v>2.2101939866396524E-4</v>
      </c>
      <c r="AA97">
        <f>shipping_compact!D$18</f>
        <v>1418767</v>
      </c>
      <c r="AB97">
        <f>shipping_compact!F$18</f>
        <v>30</v>
      </c>
      <c r="AC97">
        <f>shipping_compact!G$18</f>
        <v>0.996</v>
      </c>
      <c r="AD97">
        <f>shipping_compact!H$18</f>
        <v>0.68500000000000005</v>
      </c>
      <c r="AE97">
        <f>shipping_compact!J$18</f>
        <v>4.2999999999999997E-2</v>
      </c>
      <c r="AF97">
        <f>shipping_compact!K$18</f>
        <v>0</v>
      </c>
    </row>
    <row r="98" spans="1:32" x14ac:dyDescent="0.35">
      <c r="A98" s="39" t="s">
        <v>353</v>
      </c>
      <c r="B98" s="39" t="s">
        <v>519</v>
      </c>
      <c r="C98" s="39" t="str">
        <f t="shared" ref="C98:C145" si="2">_xlfn.CONCAT(B98,"_",A98)</f>
        <v>ch3oh_terminal_EU-NLD</v>
      </c>
      <c r="D98" s="39" t="s">
        <v>158</v>
      </c>
      <c r="E98" s="40">
        <v>51.948455000000003</v>
      </c>
      <c r="F98" s="40">
        <v>4.1402960000000002</v>
      </c>
      <c r="G98" s="41" t="s">
        <v>129</v>
      </c>
      <c r="H98" s="39">
        <f>shipping_compact!D$21</f>
        <v>7300000</v>
      </c>
      <c r="I98" s="39">
        <f>shipping_compact!E$21</f>
        <v>6000</v>
      </c>
      <c r="J98" s="39">
        <f>shipping_compact!F$21</f>
        <v>30</v>
      </c>
      <c r="K98" s="39">
        <f>shipping_compact!G$21</f>
        <v>0.59250000000000003</v>
      </c>
      <c r="L98" s="39">
        <f>shipping_compact!H$21</f>
        <v>1</v>
      </c>
      <c r="M98" s="39">
        <f>shipping_compact!J$21</f>
        <v>0.04</v>
      </c>
      <c r="N98" s="39">
        <f>shipping_compact!K$21</f>
        <v>0</v>
      </c>
      <c r="O98" s="42">
        <f>shipping_compact!D$25</f>
        <v>293456.89305233641</v>
      </c>
      <c r="P98" s="42">
        <f>shipping_compact!F$25</f>
        <v>30</v>
      </c>
      <c r="Q98" s="42">
        <f>shipping_compact!G$25</f>
        <v>1</v>
      </c>
      <c r="R98" s="56">
        <f>shipping_compact!J$25</f>
        <v>0.04</v>
      </c>
      <c r="S98" s="56">
        <f>shipping_compact!L$25</f>
        <v>0</v>
      </c>
      <c r="T98" s="39">
        <f>shipping_compact!D$26</f>
        <v>1756697</v>
      </c>
      <c r="U98" s="39">
        <f>shipping_compact!E$26</f>
        <v>4380</v>
      </c>
      <c r="V98" s="39">
        <f>shipping_compact!F$26</f>
        <v>25</v>
      </c>
      <c r="W98" s="39">
        <f>shipping_compact!G$26</f>
        <v>1</v>
      </c>
      <c r="X98" s="39">
        <f>shipping_compact!I$26</f>
        <v>0</v>
      </c>
      <c r="Y98" s="39">
        <f>shipping_compact!J$26</f>
        <v>0.04</v>
      </c>
      <c r="Z98" s="39">
        <f>shipping_compact!L$26</f>
        <v>1.8083405345233519E-4</v>
      </c>
      <c r="AA98" s="39">
        <f>shipping_compact!D$27</f>
        <v>22653</v>
      </c>
      <c r="AB98" s="39">
        <f>shipping_compact!F$27</f>
        <v>30</v>
      </c>
      <c r="AC98" s="39">
        <f>shipping_compact!G$27</f>
        <v>0.99</v>
      </c>
      <c r="AD98" s="39">
        <f>shipping_compact!H$27</f>
        <v>0.83299999999999996</v>
      </c>
      <c r="AE98" s="39">
        <f>shipping_compact!J$27</f>
        <v>0.04</v>
      </c>
      <c r="AF98" s="39">
        <f>shipping_compact!K$27</f>
        <v>0</v>
      </c>
    </row>
    <row r="99" spans="1:32" x14ac:dyDescent="0.35">
      <c r="A99" t="s">
        <v>355</v>
      </c>
      <c r="B99" t="s">
        <v>519</v>
      </c>
      <c r="C99" t="str">
        <f t="shared" si="2"/>
        <v>ch3oh_terminal_EU-PRT</v>
      </c>
      <c r="D99" t="s">
        <v>161</v>
      </c>
      <c r="E99" s="22">
        <v>37.961097819999999</v>
      </c>
      <c r="F99" s="22">
        <v>-8.8786876929999998</v>
      </c>
      <c r="G99" s="23" t="s">
        <v>129</v>
      </c>
      <c r="H99">
        <f>shipping_compact!D$21</f>
        <v>7300000</v>
      </c>
      <c r="I99">
        <f>shipping_compact!E$21</f>
        <v>6000</v>
      </c>
      <c r="J99">
        <f>shipping_compact!F$21</f>
        <v>30</v>
      </c>
      <c r="K99">
        <f>shipping_compact!G$21</f>
        <v>0.59250000000000003</v>
      </c>
      <c r="L99">
        <f>shipping_compact!H$21</f>
        <v>1</v>
      </c>
      <c r="M99">
        <f>shipping_compact!J$21</f>
        <v>0.04</v>
      </c>
      <c r="N99">
        <f>shipping_compact!K$21</f>
        <v>0</v>
      </c>
      <c r="O99" s="26">
        <f>shipping_compact!D$25</f>
        <v>293456.89305233641</v>
      </c>
      <c r="P99" s="26">
        <f>shipping_compact!F$25</f>
        <v>30</v>
      </c>
      <c r="Q99" s="26">
        <f>shipping_compact!G$25</f>
        <v>1</v>
      </c>
      <c r="R99" s="24">
        <f>shipping_compact!J$25</f>
        <v>0.04</v>
      </c>
      <c r="S99" s="24">
        <f>shipping_compact!L$25</f>
        <v>0</v>
      </c>
      <c r="T99">
        <f>shipping_compact!D$26</f>
        <v>1756697</v>
      </c>
      <c r="U99">
        <f>shipping_compact!E$26</f>
        <v>4380</v>
      </c>
      <c r="V99">
        <f>shipping_compact!F$26</f>
        <v>25</v>
      </c>
      <c r="W99">
        <f>shipping_compact!G$26</f>
        <v>1</v>
      </c>
      <c r="X99">
        <f>shipping_compact!I$26</f>
        <v>0</v>
      </c>
      <c r="Y99">
        <f>shipping_compact!J$26</f>
        <v>0.04</v>
      </c>
      <c r="Z99">
        <f>shipping_compact!L$26</f>
        <v>1.8083405345233519E-4</v>
      </c>
      <c r="AA99">
        <f>shipping_compact!D$27</f>
        <v>22653</v>
      </c>
      <c r="AB99">
        <f>shipping_compact!F$27</f>
        <v>30</v>
      </c>
      <c r="AC99">
        <f>shipping_compact!G$27</f>
        <v>0.99</v>
      </c>
      <c r="AD99">
        <f>shipping_compact!H$27</f>
        <v>0.83299999999999996</v>
      </c>
      <c r="AE99">
        <f>shipping_compact!J$27</f>
        <v>0.04</v>
      </c>
      <c r="AF99">
        <f>shipping_compact!K$27</f>
        <v>0</v>
      </c>
    </row>
    <row r="100" spans="1:32" x14ac:dyDescent="0.35">
      <c r="A100" t="s">
        <v>356</v>
      </c>
      <c r="B100" t="s">
        <v>519</v>
      </c>
      <c r="C100" t="str">
        <f t="shared" si="2"/>
        <v>ch3oh_terminal_EU-ESP</v>
      </c>
      <c r="D100" t="s">
        <v>140</v>
      </c>
      <c r="E100" s="22">
        <v>39.463713490000004</v>
      </c>
      <c r="F100" s="22">
        <v>-0.358819791</v>
      </c>
      <c r="G100" s="23" t="s">
        <v>129</v>
      </c>
      <c r="H100">
        <f>shipping_compact!D$21</f>
        <v>7300000</v>
      </c>
      <c r="I100">
        <f>shipping_compact!E$21</f>
        <v>6000</v>
      </c>
      <c r="J100">
        <f>shipping_compact!F$21</f>
        <v>30</v>
      </c>
      <c r="K100">
        <f>shipping_compact!G$21</f>
        <v>0.59250000000000003</v>
      </c>
      <c r="L100">
        <f>shipping_compact!H$21</f>
        <v>1</v>
      </c>
      <c r="M100">
        <f>shipping_compact!J$21</f>
        <v>0.04</v>
      </c>
      <c r="N100">
        <f>shipping_compact!K$21</f>
        <v>0</v>
      </c>
      <c r="O100" s="26">
        <f>shipping_compact!D$25</f>
        <v>293456.89305233641</v>
      </c>
      <c r="P100" s="26">
        <f>shipping_compact!F$25</f>
        <v>30</v>
      </c>
      <c r="Q100" s="26">
        <f>shipping_compact!G$25</f>
        <v>1</v>
      </c>
      <c r="R100" s="24">
        <f>shipping_compact!J$25</f>
        <v>0.04</v>
      </c>
      <c r="S100" s="24">
        <f>shipping_compact!L$25</f>
        <v>0</v>
      </c>
      <c r="T100">
        <f>shipping_compact!D$26</f>
        <v>1756697</v>
      </c>
      <c r="U100">
        <f>shipping_compact!E$26</f>
        <v>4380</v>
      </c>
      <c r="V100">
        <f>shipping_compact!F$26</f>
        <v>25</v>
      </c>
      <c r="W100">
        <f>shipping_compact!G$26</f>
        <v>1</v>
      </c>
      <c r="X100">
        <f>shipping_compact!I$26</f>
        <v>0</v>
      </c>
      <c r="Y100">
        <f>shipping_compact!J$26</f>
        <v>0.04</v>
      </c>
      <c r="Z100">
        <f>shipping_compact!L$26</f>
        <v>1.8083405345233519E-4</v>
      </c>
      <c r="AA100">
        <f>shipping_compact!D$27</f>
        <v>22653</v>
      </c>
      <c r="AB100">
        <f>shipping_compact!F$27</f>
        <v>30</v>
      </c>
      <c r="AC100">
        <f>shipping_compact!G$27</f>
        <v>0.99</v>
      </c>
      <c r="AD100">
        <f>shipping_compact!H$27</f>
        <v>0.83299999999999996</v>
      </c>
      <c r="AE100">
        <f>shipping_compact!J$27</f>
        <v>0.04</v>
      </c>
      <c r="AF100">
        <f>shipping_compact!K$27</f>
        <v>0</v>
      </c>
    </row>
    <row r="101" spans="1:32" x14ac:dyDescent="0.35">
      <c r="A101" t="s">
        <v>357</v>
      </c>
      <c r="B101" t="s">
        <v>519</v>
      </c>
      <c r="C101" t="str">
        <f t="shared" si="2"/>
        <v>ch3oh_terminal_EU-ISL</v>
      </c>
      <c r="D101" t="s">
        <v>150</v>
      </c>
      <c r="E101" s="22">
        <v>64.094857875262505</v>
      </c>
      <c r="F101" s="22">
        <v>-21.853528070301</v>
      </c>
      <c r="G101" s="23" t="s">
        <v>129</v>
      </c>
      <c r="H101">
        <f>shipping_compact!D$21</f>
        <v>7300000</v>
      </c>
      <c r="I101">
        <f>shipping_compact!E$21</f>
        <v>6000</v>
      </c>
      <c r="J101">
        <f>shipping_compact!F$21</f>
        <v>30</v>
      </c>
      <c r="K101">
        <f>shipping_compact!G$21</f>
        <v>0.59250000000000003</v>
      </c>
      <c r="L101">
        <f>shipping_compact!H$21</f>
        <v>1</v>
      </c>
      <c r="M101">
        <f>shipping_compact!J$21</f>
        <v>0.04</v>
      </c>
      <c r="N101">
        <f>shipping_compact!K$21</f>
        <v>0</v>
      </c>
      <c r="O101" s="26">
        <f>shipping_compact!D$25</f>
        <v>293456.89305233641</v>
      </c>
      <c r="P101" s="26">
        <f>shipping_compact!F$25</f>
        <v>30</v>
      </c>
      <c r="Q101" s="26">
        <f>shipping_compact!G$25</f>
        <v>1</v>
      </c>
      <c r="R101" s="24">
        <f>shipping_compact!J$25</f>
        <v>0.04</v>
      </c>
      <c r="S101" s="24">
        <f>shipping_compact!L$25</f>
        <v>0</v>
      </c>
      <c r="T101">
        <f>shipping_compact!D$26</f>
        <v>1756697</v>
      </c>
      <c r="U101">
        <f>shipping_compact!E$26</f>
        <v>4380</v>
      </c>
      <c r="V101">
        <f>shipping_compact!F$26</f>
        <v>25</v>
      </c>
      <c r="W101">
        <f>shipping_compact!G$26</f>
        <v>1</v>
      </c>
      <c r="X101">
        <f>shipping_compact!I$26</f>
        <v>0</v>
      </c>
      <c r="Y101">
        <f>shipping_compact!J$26</f>
        <v>0.04</v>
      </c>
      <c r="Z101">
        <f>shipping_compact!L$26</f>
        <v>1.8083405345233519E-4</v>
      </c>
      <c r="AA101">
        <f>shipping_compact!D$27</f>
        <v>22653</v>
      </c>
      <c r="AB101">
        <f>shipping_compact!F$27</f>
        <v>30</v>
      </c>
      <c r="AC101">
        <f>shipping_compact!G$27</f>
        <v>0.99</v>
      </c>
      <c r="AD101">
        <f>shipping_compact!H$27</f>
        <v>0.83299999999999996</v>
      </c>
      <c r="AE101">
        <f>shipping_compact!J$27</f>
        <v>0.04</v>
      </c>
      <c r="AF101">
        <f>shipping_compact!K$27</f>
        <v>0</v>
      </c>
    </row>
    <row r="102" spans="1:32" x14ac:dyDescent="0.35">
      <c r="A102" t="s">
        <v>358</v>
      </c>
      <c r="B102" t="s">
        <v>519</v>
      </c>
      <c r="C102" t="str">
        <f t="shared" si="2"/>
        <v>ch3oh_terminal_EU-ITA4</v>
      </c>
      <c r="D102" t="s">
        <v>301</v>
      </c>
      <c r="E102" s="22">
        <v>45.205817279999998</v>
      </c>
      <c r="F102" s="22">
        <v>12.29365557</v>
      </c>
      <c r="G102" s="23" t="s">
        <v>129</v>
      </c>
      <c r="H102">
        <f>shipping_compact!D$21</f>
        <v>7300000</v>
      </c>
      <c r="I102">
        <f>shipping_compact!E$21</f>
        <v>6000</v>
      </c>
      <c r="J102">
        <f>shipping_compact!F$21</f>
        <v>30</v>
      </c>
      <c r="K102">
        <f>shipping_compact!G$21</f>
        <v>0.59250000000000003</v>
      </c>
      <c r="L102">
        <f>shipping_compact!H$21</f>
        <v>1</v>
      </c>
      <c r="M102">
        <f>shipping_compact!J$21</f>
        <v>0.04</v>
      </c>
      <c r="N102">
        <f>shipping_compact!K$21</f>
        <v>0</v>
      </c>
      <c r="O102" s="26">
        <f>shipping_compact!D$25</f>
        <v>293456.89305233641</v>
      </c>
      <c r="P102" s="26">
        <f>shipping_compact!F$25</f>
        <v>30</v>
      </c>
      <c r="Q102" s="26">
        <f>shipping_compact!G$25</f>
        <v>1</v>
      </c>
      <c r="R102" s="24">
        <f>shipping_compact!J$25</f>
        <v>0.04</v>
      </c>
      <c r="S102" s="24">
        <f>shipping_compact!L$25</f>
        <v>0</v>
      </c>
      <c r="T102">
        <f>shipping_compact!D$26</f>
        <v>1756697</v>
      </c>
      <c r="U102">
        <f>shipping_compact!E$26</f>
        <v>4380</v>
      </c>
      <c r="V102">
        <f>shipping_compact!F$26</f>
        <v>25</v>
      </c>
      <c r="W102">
        <f>shipping_compact!G$26</f>
        <v>1</v>
      </c>
      <c r="X102">
        <f>shipping_compact!I$26</f>
        <v>0</v>
      </c>
      <c r="Y102">
        <f>shipping_compact!J$26</f>
        <v>0.04</v>
      </c>
      <c r="Z102">
        <f>shipping_compact!L$26</f>
        <v>1.8083405345233519E-4</v>
      </c>
      <c r="AA102">
        <f>shipping_compact!D$27</f>
        <v>22653</v>
      </c>
      <c r="AB102">
        <f>shipping_compact!F$27</f>
        <v>30</v>
      </c>
      <c r="AC102">
        <f>shipping_compact!G$27</f>
        <v>0.99</v>
      </c>
      <c r="AD102">
        <f>shipping_compact!H$27</f>
        <v>0.83299999999999996</v>
      </c>
      <c r="AE102">
        <f>shipping_compact!J$27</f>
        <v>0.04</v>
      </c>
      <c r="AF102">
        <f>shipping_compact!K$27</f>
        <v>0</v>
      </c>
    </row>
    <row r="103" spans="1:32" x14ac:dyDescent="0.35">
      <c r="A103" t="s">
        <v>359</v>
      </c>
      <c r="B103" t="s">
        <v>519</v>
      </c>
      <c r="C103" t="str">
        <f t="shared" si="2"/>
        <v>ch3oh_terminal_EU-ITA</v>
      </c>
      <c r="D103" t="s">
        <v>151</v>
      </c>
      <c r="E103" s="22">
        <v>45.205817279999998</v>
      </c>
      <c r="F103" s="22">
        <v>12.29365557</v>
      </c>
      <c r="G103" s="23" t="s">
        <v>129</v>
      </c>
      <c r="H103">
        <f>shipping_compact!D$21</f>
        <v>7300000</v>
      </c>
      <c r="I103">
        <f>shipping_compact!E$21</f>
        <v>6000</v>
      </c>
      <c r="J103">
        <f>shipping_compact!F$21</f>
        <v>30</v>
      </c>
      <c r="K103">
        <f>shipping_compact!G$21</f>
        <v>0.59250000000000003</v>
      </c>
      <c r="L103">
        <f>shipping_compact!H$21</f>
        <v>1</v>
      </c>
      <c r="M103">
        <f>shipping_compact!J$21</f>
        <v>0.04</v>
      </c>
      <c r="N103">
        <f>shipping_compact!K$21</f>
        <v>0</v>
      </c>
      <c r="O103" s="26">
        <f>shipping_compact!D$25</f>
        <v>293456.89305233641</v>
      </c>
      <c r="P103" s="26">
        <f>shipping_compact!F$25</f>
        <v>30</v>
      </c>
      <c r="Q103" s="26">
        <f>shipping_compact!G$25</f>
        <v>1</v>
      </c>
      <c r="R103" s="24">
        <f>shipping_compact!J$25</f>
        <v>0.04</v>
      </c>
      <c r="S103" s="24">
        <f>shipping_compact!L$25</f>
        <v>0</v>
      </c>
      <c r="T103">
        <f>shipping_compact!D$26</f>
        <v>1756697</v>
      </c>
      <c r="U103">
        <f>shipping_compact!E$26</f>
        <v>4380</v>
      </c>
      <c r="V103">
        <f>shipping_compact!F$26</f>
        <v>25</v>
      </c>
      <c r="W103">
        <f>shipping_compact!G$26</f>
        <v>1</v>
      </c>
      <c r="X103">
        <f>shipping_compact!I$26</f>
        <v>0</v>
      </c>
      <c r="Y103">
        <f>shipping_compact!J$26</f>
        <v>0.04</v>
      </c>
      <c r="Z103">
        <f>shipping_compact!L$26</f>
        <v>1.8083405345233519E-4</v>
      </c>
      <c r="AA103">
        <f>shipping_compact!D$27</f>
        <v>22653</v>
      </c>
      <c r="AB103">
        <f>shipping_compact!F$27</f>
        <v>30</v>
      </c>
      <c r="AC103">
        <f>shipping_compact!G$27</f>
        <v>0.99</v>
      </c>
      <c r="AD103">
        <f>shipping_compact!H$27</f>
        <v>0.83299999999999996</v>
      </c>
      <c r="AE103">
        <f>shipping_compact!J$27</f>
        <v>0.04</v>
      </c>
      <c r="AF103">
        <f>shipping_compact!K$27</f>
        <v>0</v>
      </c>
    </row>
    <row r="104" spans="1:32" x14ac:dyDescent="0.35">
      <c r="A104" t="s">
        <v>360</v>
      </c>
      <c r="B104" t="s">
        <v>519</v>
      </c>
      <c r="C104" t="str">
        <f t="shared" si="2"/>
        <v>ch3oh_terminal_AS-TUR</v>
      </c>
      <c r="D104" t="s">
        <v>235</v>
      </c>
      <c r="E104" s="22">
        <v>36.825940789999997</v>
      </c>
      <c r="F104" s="22">
        <v>36.177898030000001</v>
      </c>
      <c r="G104" s="23" t="s">
        <v>129</v>
      </c>
      <c r="H104">
        <f>shipping_compact!D$21</f>
        <v>7300000</v>
      </c>
      <c r="I104">
        <f>shipping_compact!E$21</f>
        <v>6000</v>
      </c>
      <c r="J104">
        <f>shipping_compact!F$21</f>
        <v>30</v>
      </c>
      <c r="K104">
        <f>shipping_compact!G$21</f>
        <v>0.59250000000000003</v>
      </c>
      <c r="L104">
        <f>shipping_compact!H$21</f>
        <v>1</v>
      </c>
      <c r="M104">
        <f>shipping_compact!J$21</f>
        <v>0.04</v>
      </c>
      <c r="N104">
        <f>shipping_compact!K$21</f>
        <v>0</v>
      </c>
      <c r="O104" s="26">
        <f>shipping_compact!D$25</f>
        <v>293456.89305233641</v>
      </c>
      <c r="P104" s="26">
        <f>shipping_compact!F$25</f>
        <v>30</v>
      </c>
      <c r="Q104" s="26">
        <f>shipping_compact!G$25</f>
        <v>1</v>
      </c>
      <c r="R104" s="24">
        <f>shipping_compact!J$25</f>
        <v>0.04</v>
      </c>
      <c r="S104" s="24">
        <f>shipping_compact!L$25</f>
        <v>0</v>
      </c>
      <c r="T104">
        <f>shipping_compact!D$26</f>
        <v>1756697</v>
      </c>
      <c r="U104">
        <f>shipping_compact!E$26</f>
        <v>4380</v>
      </c>
      <c r="V104">
        <f>shipping_compact!F$26</f>
        <v>25</v>
      </c>
      <c r="W104">
        <f>shipping_compact!G$26</f>
        <v>1</v>
      </c>
      <c r="X104">
        <f>shipping_compact!I$26</f>
        <v>0</v>
      </c>
      <c r="Y104">
        <f>shipping_compact!J$26</f>
        <v>0.04</v>
      </c>
      <c r="Z104">
        <f>shipping_compact!L$26</f>
        <v>1.8083405345233519E-4</v>
      </c>
      <c r="AA104">
        <f>shipping_compact!D$27</f>
        <v>22653</v>
      </c>
      <c r="AB104">
        <f>shipping_compact!F$27</f>
        <v>30</v>
      </c>
      <c r="AC104">
        <f>shipping_compact!G$27</f>
        <v>0.99</v>
      </c>
      <c r="AD104">
        <f>shipping_compact!H$27</f>
        <v>0.83299999999999996</v>
      </c>
      <c r="AE104">
        <f>shipping_compact!J$27</f>
        <v>0.04</v>
      </c>
      <c r="AF104">
        <f>shipping_compact!K$27</f>
        <v>0</v>
      </c>
    </row>
    <row r="105" spans="1:32" x14ac:dyDescent="0.35">
      <c r="A105" t="s">
        <v>361</v>
      </c>
      <c r="B105" t="s">
        <v>519</v>
      </c>
      <c r="C105" t="str">
        <f t="shared" si="2"/>
        <v>ch3oh_terminal_EU-SWE3</v>
      </c>
      <c r="D105" t="s">
        <v>313</v>
      </c>
      <c r="E105" s="22">
        <v>58.913024630000002</v>
      </c>
      <c r="F105" s="22">
        <v>17.96051026</v>
      </c>
      <c r="G105" s="23" t="s">
        <v>129</v>
      </c>
      <c r="H105">
        <f>shipping_compact!D$21</f>
        <v>7300000</v>
      </c>
      <c r="I105">
        <f>shipping_compact!E$21</f>
        <v>6000</v>
      </c>
      <c r="J105">
        <f>shipping_compact!F$21</f>
        <v>30</v>
      </c>
      <c r="K105">
        <f>shipping_compact!G$21</f>
        <v>0.59250000000000003</v>
      </c>
      <c r="L105">
        <f>shipping_compact!H$21</f>
        <v>1</v>
      </c>
      <c r="M105">
        <f>shipping_compact!J$21</f>
        <v>0.04</v>
      </c>
      <c r="N105">
        <f>shipping_compact!K$21</f>
        <v>0</v>
      </c>
      <c r="O105" s="26">
        <f>shipping_compact!D$25</f>
        <v>293456.89305233641</v>
      </c>
      <c r="P105" s="26">
        <f>shipping_compact!F$25</f>
        <v>30</v>
      </c>
      <c r="Q105" s="26">
        <f>shipping_compact!G$25</f>
        <v>1</v>
      </c>
      <c r="R105" s="24">
        <f>shipping_compact!J$25</f>
        <v>0.04</v>
      </c>
      <c r="S105" s="24">
        <f>shipping_compact!L$25</f>
        <v>0</v>
      </c>
      <c r="T105">
        <f>shipping_compact!D$26</f>
        <v>1756697</v>
      </c>
      <c r="U105">
        <f>shipping_compact!E$26</f>
        <v>4380</v>
      </c>
      <c r="V105">
        <f>shipping_compact!F$26</f>
        <v>25</v>
      </c>
      <c r="W105">
        <f>shipping_compact!G$26</f>
        <v>1</v>
      </c>
      <c r="X105">
        <f>shipping_compact!I$26</f>
        <v>0</v>
      </c>
      <c r="Y105">
        <f>shipping_compact!J$26</f>
        <v>0.04</v>
      </c>
      <c r="Z105">
        <f>shipping_compact!L$26</f>
        <v>1.8083405345233519E-4</v>
      </c>
      <c r="AA105">
        <f>shipping_compact!D$27</f>
        <v>22653</v>
      </c>
      <c r="AB105">
        <f>shipping_compact!F$27</f>
        <v>30</v>
      </c>
      <c r="AC105">
        <f>shipping_compact!G$27</f>
        <v>0.99</v>
      </c>
      <c r="AD105">
        <f>shipping_compact!H$27</f>
        <v>0.83299999999999996</v>
      </c>
      <c r="AE105">
        <f>shipping_compact!J$27</f>
        <v>0.04</v>
      </c>
      <c r="AF105">
        <f>shipping_compact!K$27</f>
        <v>0</v>
      </c>
    </row>
    <row r="106" spans="1:32" x14ac:dyDescent="0.35">
      <c r="A106" t="s">
        <v>362</v>
      </c>
      <c r="B106" t="s">
        <v>519</v>
      </c>
      <c r="C106" t="str">
        <f t="shared" si="2"/>
        <v>ch3oh_terminal_EU-SWE</v>
      </c>
      <c r="D106" t="s">
        <v>166</v>
      </c>
      <c r="E106" s="22">
        <v>58.913024630000002</v>
      </c>
      <c r="F106" s="22">
        <v>17.96051026</v>
      </c>
      <c r="G106" s="23" t="s">
        <v>129</v>
      </c>
      <c r="H106">
        <f>shipping_compact!D$21</f>
        <v>7300000</v>
      </c>
      <c r="I106">
        <f>shipping_compact!E$21</f>
        <v>6000</v>
      </c>
      <c r="J106">
        <f>shipping_compact!F$21</f>
        <v>30</v>
      </c>
      <c r="K106">
        <f>shipping_compact!G$21</f>
        <v>0.59250000000000003</v>
      </c>
      <c r="L106">
        <f>shipping_compact!H$21</f>
        <v>1</v>
      </c>
      <c r="M106">
        <f>shipping_compact!J$21</f>
        <v>0.04</v>
      </c>
      <c r="N106">
        <f>shipping_compact!K$21</f>
        <v>0</v>
      </c>
      <c r="O106" s="26">
        <f>shipping_compact!D$25</f>
        <v>293456.89305233641</v>
      </c>
      <c r="P106" s="26">
        <f>shipping_compact!F$25</f>
        <v>30</v>
      </c>
      <c r="Q106" s="26">
        <f>shipping_compact!G$25</f>
        <v>1</v>
      </c>
      <c r="R106" s="24">
        <f>shipping_compact!J$25</f>
        <v>0.04</v>
      </c>
      <c r="S106" s="24">
        <f>shipping_compact!L$25</f>
        <v>0</v>
      </c>
      <c r="T106">
        <f>shipping_compact!D$26</f>
        <v>1756697</v>
      </c>
      <c r="U106">
        <f>shipping_compact!E$26</f>
        <v>4380</v>
      </c>
      <c r="V106">
        <f>shipping_compact!F$26</f>
        <v>25</v>
      </c>
      <c r="W106">
        <f>shipping_compact!G$26</f>
        <v>1</v>
      </c>
      <c r="X106">
        <f>shipping_compact!I$26</f>
        <v>0</v>
      </c>
      <c r="Y106">
        <f>shipping_compact!J$26</f>
        <v>0.04</v>
      </c>
      <c r="Z106">
        <f>shipping_compact!L$26</f>
        <v>1.8083405345233519E-4</v>
      </c>
      <c r="AA106">
        <f>shipping_compact!D$27</f>
        <v>22653</v>
      </c>
      <c r="AB106">
        <f>shipping_compact!F$27</f>
        <v>30</v>
      </c>
      <c r="AC106">
        <f>shipping_compact!G$27</f>
        <v>0.99</v>
      </c>
      <c r="AD106">
        <f>shipping_compact!H$27</f>
        <v>0.83299999999999996</v>
      </c>
      <c r="AE106">
        <f>shipping_compact!J$27</f>
        <v>0.04</v>
      </c>
      <c r="AF106">
        <f>shipping_compact!K$27</f>
        <v>0</v>
      </c>
    </row>
    <row r="107" spans="1:32" x14ac:dyDescent="0.35">
      <c r="A107" t="s">
        <v>363</v>
      </c>
      <c r="B107" t="s">
        <v>519</v>
      </c>
      <c r="C107" t="str">
        <f t="shared" si="2"/>
        <v>ch3oh_terminal_EU-GBR</v>
      </c>
      <c r="D107" t="s">
        <v>144</v>
      </c>
      <c r="E107" s="22">
        <v>51.708290169999998</v>
      </c>
      <c r="F107" s="22">
        <v>-5.0646297740000001</v>
      </c>
      <c r="G107" s="23" t="s">
        <v>129</v>
      </c>
      <c r="H107">
        <f>shipping_compact!D$21</f>
        <v>7300000</v>
      </c>
      <c r="I107">
        <f>shipping_compact!E$21</f>
        <v>6000</v>
      </c>
      <c r="J107">
        <f>shipping_compact!F$21</f>
        <v>30</v>
      </c>
      <c r="K107">
        <f>shipping_compact!G$21</f>
        <v>0.59250000000000003</v>
      </c>
      <c r="L107">
        <f>shipping_compact!H$21</f>
        <v>1</v>
      </c>
      <c r="M107">
        <f>shipping_compact!J$21</f>
        <v>0.04</v>
      </c>
      <c r="N107">
        <f>shipping_compact!K$21</f>
        <v>0</v>
      </c>
      <c r="O107" s="26">
        <f>shipping_compact!D$25</f>
        <v>293456.89305233641</v>
      </c>
      <c r="P107" s="26">
        <f>shipping_compact!F$25</f>
        <v>30</v>
      </c>
      <c r="Q107" s="26">
        <f>shipping_compact!G$25</f>
        <v>1</v>
      </c>
      <c r="R107" s="24">
        <f>shipping_compact!J$25</f>
        <v>0.04</v>
      </c>
      <c r="S107" s="24">
        <f>shipping_compact!L$25</f>
        <v>0</v>
      </c>
      <c r="T107">
        <f>shipping_compact!D$26</f>
        <v>1756697</v>
      </c>
      <c r="U107">
        <f>shipping_compact!E$26</f>
        <v>4380</v>
      </c>
      <c r="V107">
        <f>shipping_compact!F$26</f>
        <v>25</v>
      </c>
      <c r="W107">
        <f>shipping_compact!G$26</f>
        <v>1</v>
      </c>
      <c r="X107">
        <f>shipping_compact!I$26</f>
        <v>0</v>
      </c>
      <c r="Y107">
        <f>shipping_compact!J$26</f>
        <v>0.04</v>
      </c>
      <c r="Z107">
        <f>shipping_compact!L$26</f>
        <v>1.8083405345233519E-4</v>
      </c>
      <c r="AA107">
        <f>shipping_compact!D$27</f>
        <v>22653</v>
      </c>
      <c r="AB107">
        <f>shipping_compact!F$27</f>
        <v>30</v>
      </c>
      <c r="AC107">
        <f>shipping_compact!G$27</f>
        <v>0.99</v>
      </c>
      <c r="AD107">
        <f>shipping_compact!H$27</f>
        <v>0.83299999999999996</v>
      </c>
      <c r="AE107">
        <f>shipping_compact!J$27</f>
        <v>0.04</v>
      </c>
      <c r="AF107">
        <f>shipping_compact!K$27</f>
        <v>0</v>
      </c>
    </row>
    <row r="108" spans="1:32" x14ac:dyDescent="0.35">
      <c r="A108" t="s">
        <v>364</v>
      </c>
      <c r="B108" t="s">
        <v>519</v>
      </c>
      <c r="C108" t="str">
        <f t="shared" si="2"/>
        <v>ch3oh_terminal_AS-QAT</v>
      </c>
      <c r="D108" t="s">
        <v>227</v>
      </c>
      <c r="E108" s="22">
        <v>25.883521009999999</v>
      </c>
      <c r="F108" s="22">
        <v>51.480261319999997</v>
      </c>
      <c r="G108" s="23" t="s">
        <v>129</v>
      </c>
      <c r="H108">
        <f>shipping_compact!D$21</f>
        <v>7300000</v>
      </c>
      <c r="I108">
        <f>shipping_compact!E$21</f>
        <v>6000</v>
      </c>
      <c r="J108">
        <f>shipping_compact!F$21</f>
        <v>30</v>
      </c>
      <c r="K108">
        <f>shipping_compact!G$21</f>
        <v>0.59250000000000003</v>
      </c>
      <c r="L108">
        <f>shipping_compact!H$21</f>
        <v>1</v>
      </c>
      <c r="M108">
        <f>shipping_compact!J$21</f>
        <v>0.04</v>
      </c>
      <c r="N108">
        <f>shipping_compact!K$21</f>
        <v>0</v>
      </c>
      <c r="O108" s="26">
        <f>shipping_compact!D$25</f>
        <v>293456.89305233641</v>
      </c>
      <c r="P108" s="26">
        <f>shipping_compact!F$25</f>
        <v>30</v>
      </c>
      <c r="Q108" s="26">
        <f>shipping_compact!G$25</f>
        <v>1</v>
      </c>
      <c r="R108" s="24">
        <f>shipping_compact!J$25</f>
        <v>0.04</v>
      </c>
      <c r="S108" s="24">
        <f>shipping_compact!L$25</f>
        <v>0</v>
      </c>
      <c r="T108">
        <f>shipping_compact!D$26</f>
        <v>1756697</v>
      </c>
      <c r="U108">
        <f>shipping_compact!E$26</f>
        <v>4380</v>
      </c>
      <c r="V108">
        <f>shipping_compact!F$26</f>
        <v>25</v>
      </c>
      <c r="W108">
        <f>shipping_compact!G$26</f>
        <v>1</v>
      </c>
      <c r="X108">
        <f>shipping_compact!I$26</f>
        <v>0</v>
      </c>
      <c r="Y108">
        <f>shipping_compact!J$26</f>
        <v>0.04</v>
      </c>
      <c r="Z108">
        <f>shipping_compact!L$26</f>
        <v>1.8083405345233519E-4</v>
      </c>
      <c r="AA108">
        <f>shipping_compact!D$27</f>
        <v>22653</v>
      </c>
      <c r="AB108">
        <f>shipping_compact!F$27</f>
        <v>30</v>
      </c>
      <c r="AC108">
        <f>shipping_compact!G$27</f>
        <v>0.99</v>
      </c>
      <c r="AD108">
        <f>shipping_compact!H$27</f>
        <v>0.83299999999999996</v>
      </c>
      <c r="AE108">
        <f>shipping_compact!J$27</f>
        <v>0.04</v>
      </c>
      <c r="AF108">
        <f>shipping_compact!K$27</f>
        <v>0</v>
      </c>
    </row>
    <row r="109" spans="1:32" x14ac:dyDescent="0.35">
      <c r="A109" t="s">
        <v>365</v>
      </c>
      <c r="B109" t="s">
        <v>519</v>
      </c>
      <c r="C109" t="str">
        <f t="shared" si="2"/>
        <v>ch3oh_terminal_AS-IND-WE</v>
      </c>
      <c r="D109" t="s">
        <v>205</v>
      </c>
      <c r="E109" s="22">
        <v>18.944742420000001</v>
      </c>
      <c r="F109" s="22">
        <v>72.950074349999994</v>
      </c>
      <c r="G109" s="23" t="s">
        <v>129</v>
      </c>
      <c r="H109">
        <f>shipping_compact!D$21</f>
        <v>7300000</v>
      </c>
      <c r="I109">
        <f>shipping_compact!E$21</f>
        <v>6000</v>
      </c>
      <c r="J109">
        <f>shipping_compact!F$21</f>
        <v>30</v>
      </c>
      <c r="K109">
        <f>shipping_compact!G$21</f>
        <v>0.59250000000000003</v>
      </c>
      <c r="L109">
        <f>shipping_compact!H$21</f>
        <v>1</v>
      </c>
      <c r="M109">
        <f>shipping_compact!J$21</f>
        <v>0.04</v>
      </c>
      <c r="N109">
        <f>shipping_compact!K$21</f>
        <v>0</v>
      </c>
      <c r="O109" s="26">
        <f>shipping_compact!D$25</f>
        <v>293456.89305233641</v>
      </c>
      <c r="P109" s="26">
        <f>shipping_compact!F$25</f>
        <v>30</v>
      </c>
      <c r="Q109" s="26">
        <f>shipping_compact!G$25</f>
        <v>1</v>
      </c>
      <c r="R109" s="24">
        <f>shipping_compact!J$25</f>
        <v>0.04</v>
      </c>
      <c r="S109" s="24">
        <f>shipping_compact!L$25</f>
        <v>0</v>
      </c>
      <c r="T109">
        <f>shipping_compact!D$26</f>
        <v>1756697</v>
      </c>
      <c r="U109">
        <f>shipping_compact!E$26</f>
        <v>4380</v>
      </c>
      <c r="V109">
        <f>shipping_compact!F$26</f>
        <v>25</v>
      </c>
      <c r="W109">
        <f>shipping_compact!G$26</f>
        <v>1</v>
      </c>
      <c r="X109">
        <f>shipping_compact!I$26</f>
        <v>0</v>
      </c>
      <c r="Y109">
        <f>shipping_compact!J$26</f>
        <v>0.04</v>
      </c>
      <c r="Z109">
        <f>shipping_compact!L$26</f>
        <v>1.8083405345233519E-4</v>
      </c>
      <c r="AA109">
        <f>shipping_compact!D$27</f>
        <v>22653</v>
      </c>
      <c r="AB109">
        <f>shipping_compact!F$27</f>
        <v>30</v>
      </c>
      <c r="AC109">
        <f>shipping_compact!G$27</f>
        <v>0.99</v>
      </c>
      <c r="AD109">
        <f>shipping_compact!H$27</f>
        <v>0.83299999999999996</v>
      </c>
      <c r="AE109">
        <f>shipping_compact!J$27</f>
        <v>0.04</v>
      </c>
      <c r="AF109">
        <f>shipping_compact!K$27</f>
        <v>0</v>
      </c>
    </row>
    <row r="110" spans="1:32" x14ac:dyDescent="0.35">
      <c r="A110" t="s">
        <v>365</v>
      </c>
      <c r="B110" t="s">
        <v>519</v>
      </c>
      <c r="C110" t="str">
        <f t="shared" si="2"/>
        <v>ch3oh_terminal_AS-IND-WE</v>
      </c>
      <c r="D110" t="s">
        <v>366</v>
      </c>
      <c r="E110" s="22">
        <v>18.944742420000001</v>
      </c>
      <c r="F110" s="22">
        <v>72.950074349999994</v>
      </c>
      <c r="G110" s="23" t="s">
        <v>129</v>
      </c>
      <c r="H110">
        <f>shipping_compact!D$21</f>
        <v>7300000</v>
      </c>
      <c r="I110">
        <f>shipping_compact!E$21</f>
        <v>6000</v>
      </c>
      <c r="J110">
        <f>shipping_compact!F$21</f>
        <v>30</v>
      </c>
      <c r="K110">
        <f>shipping_compact!G$21</f>
        <v>0.59250000000000003</v>
      </c>
      <c r="L110">
        <f>shipping_compact!H$21</f>
        <v>1</v>
      </c>
      <c r="M110">
        <f>shipping_compact!J$21</f>
        <v>0.04</v>
      </c>
      <c r="N110">
        <f>shipping_compact!K$21</f>
        <v>0</v>
      </c>
      <c r="O110" s="26">
        <f>shipping_compact!D$25</f>
        <v>293456.89305233641</v>
      </c>
      <c r="P110" s="26">
        <f>shipping_compact!F$25</f>
        <v>30</v>
      </c>
      <c r="Q110" s="26">
        <f>shipping_compact!G$25</f>
        <v>1</v>
      </c>
      <c r="R110" s="24">
        <f>shipping_compact!J$25</f>
        <v>0.04</v>
      </c>
      <c r="S110" s="24">
        <f>shipping_compact!L$25</f>
        <v>0</v>
      </c>
      <c r="T110">
        <f>shipping_compact!D$26</f>
        <v>1756697</v>
      </c>
      <c r="U110">
        <f>shipping_compact!E$26</f>
        <v>4380</v>
      </c>
      <c r="V110">
        <f>shipping_compact!F$26</f>
        <v>25</v>
      </c>
      <c r="W110">
        <f>shipping_compact!G$26</f>
        <v>1</v>
      </c>
      <c r="X110">
        <f>shipping_compact!I$26</f>
        <v>0</v>
      </c>
      <c r="Y110">
        <f>shipping_compact!J$26</f>
        <v>0.04</v>
      </c>
      <c r="Z110">
        <f>shipping_compact!L$26</f>
        <v>1.8083405345233519E-4</v>
      </c>
      <c r="AA110">
        <f>shipping_compact!D$27</f>
        <v>22653</v>
      </c>
      <c r="AB110">
        <f>shipping_compact!F$27</f>
        <v>30</v>
      </c>
      <c r="AC110">
        <f>shipping_compact!G$27</f>
        <v>0.99</v>
      </c>
      <c r="AD110">
        <f>shipping_compact!H$27</f>
        <v>0.83299999999999996</v>
      </c>
      <c r="AE110">
        <f>shipping_compact!J$27</f>
        <v>0.04</v>
      </c>
      <c r="AF110">
        <f>shipping_compact!K$27</f>
        <v>0</v>
      </c>
    </row>
    <row r="111" spans="1:32" x14ac:dyDescent="0.35">
      <c r="A111" t="s">
        <v>367</v>
      </c>
      <c r="B111" t="s">
        <v>519</v>
      </c>
      <c r="C111" t="str">
        <f t="shared" si="2"/>
        <v>ch3oh_terminal_AS-BGD</v>
      </c>
      <c r="D111" t="s">
        <v>199</v>
      </c>
      <c r="E111" s="22">
        <v>22.256499399999999</v>
      </c>
      <c r="F111" s="22">
        <v>91.784941779999997</v>
      </c>
      <c r="G111" s="23" t="s">
        <v>129</v>
      </c>
      <c r="H111">
        <f>shipping_compact!D$21</f>
        <v>7300000</v>
      </c>
      <c r="I111">
        <f>shipping_compact!E$21</f>
        <v>6000</v>
      </c>
      <c r="J111">
        <f>shipping_compact!F$21</f>
        <v>30</v>
      </c>
      <c r="K111">
        <f>shipping_compact!G$21</f>
        <v>0.59250000000000003</v>
      </c>
      <c r="L111">
        <f>shipping_compact!H$21</f>
        <v>1</v>
      </c>
      <c r="M111">
        <f>shipping_compact!J$21</f>
        <v>0.04</v>
      </c>
      <c r="N111">
        <f>shipping_compact!K$21</f>
        <v>0</v>
      </c>
      <c r="O111" s="26">
        <f>shipping_compact!D$25</f>
        <v>293456.89305233641</v>
      </c>
      <c r="P111" s="26">
        <f>shipping_compact!F$25</f>
        <v>30</v>
      </c>
      <c r="Q111" s="26">
        <f>shipping_compact!G$25</f>
        <v>1</v>
      </c>
      <c r="R111" s="24">
        <f>shipping_compact!J$25</f>
        <v>0.04</v>
      </c>
      <c r="S111" s="24">
        <f>shipping_compact!L$25</f>
        <v>0</v>
      </c>
      <c r="T111">
        <f>shipping_compact!D$26</f>
        <v>1756697</v>
      </c>
      <c r="U111">
        <f>shipping_compact!E$26</f>
        <v>4380</v>
      </c>
      <c r="V111">
        <f>shipping_compact!F$26</f>
        <v>25</v>
      </c>
      <c r="W111">
        <f>shipping_compact!G$26</f>
        <v>1</v>
      </c>
      <c r="X111">
        <f>shipping_compact!I$26</f>
        <v>0</v>
      </c>
      <c r="Y111">
        <f>shipping_compact!J$26</f>
        <v>0.04</v>
      </c>
      <c r="Z111">
        <f>shipping_compact!L$26</f>
        <v>1.8083405345233519E-4</v>
      </c>
      <c r="AA111">
        <f>shipping_compact!D$27</f>
        <v>22653</v>
      </c>
      <c r="AB111">
        <f>shipping_compact!F$27</f>
        <v>30</v>
      </c>
      <c r="AC111">
        <f>shipping_compact!G$27</f>
        <v>0.99</v>
      </c>
      <c r="AD111">
        <f>shipping_compact!H$27</f>
        <v>0.83299999999999996</v>
      </c>
      <c r="AE111">
        <f>shipping_compact!J$27</f>
        <v>0.04</v>
      </c>
      <c r="AF111">
        <f>shipping_compact!K$27</f>
        <v>0</v>
      </c>
    </row>
    <row r="112" spans="1:32" x14ac:dyDescent="0.35">
      <c r="A112" t="s">
        <v>368</v>
      </c>
      <c r="B112" t="s">
        <v>519</v>
      </c>
      <c r="C112" t="str">
        <f t="shared" si="2"/>
        <v>ch3oh_terminal_AS-SGP</v>
      </c>
      <c r="D112" t="s">
        <v>230</v>
      </c>
      <c r="E112" s="22">
        <v>1.2924510250000001</v>
      </c>
      <c r="F112" s="22">
        <v>103.63954649999999</v>
      </c>
      <c r="G112" s="23" t="s">
        <v>129</v>
      </c>
      <c r="H112">
        <f>shipping_compact!D$21</f>
        <v>7300000</v>
      </c>
      <c r="I112">
        <f>shipping_compact!E$21</f>
        <v>6000</v>
      </c>
      <c r="J112">
        <f>shipping_compact!F$21</f>
        <v>30</v>
      </c>
      <c r="K112">
        <f>shipping_compact!G$21</f>
        <v>0.59250000000000003</v>
      </c>
      <c r="L112">
        <f>shipping_compact!H$21</f>
        <v>1</v>
      </c>
      <c r="M112">
        <f>shipping_compact!J$21</f>
        <v>0.04</v>
      </c>
      <c r="N112">
        <f>shipping_compact!K$21</f>
        <v>0</v>
      </c>
      <c r="O112" s="26">
        <f>shipping_compact!D$25</f>
        <v>293456.89305233641</v>
      </c>
      <c r="P112" s="26">
        <f>shipping_compact!F$25</f>
        <v>30</v>
      </c>
      <c r="Q112" s="26">
        <f>shipping_compact!G$25</f>
        <v>1</v>
      </c>
      <c r="R112" s="24">
        <f>shipping_compact!J$25</f>
        <v>0.04</v>
      </c>
      <c r="S112" s="24">
        <f>shipping_compact!L$25</f>
        <v>0</v>
      </c>
      <c r="T112">
        <f>shipping_compact!D$26</f>
        <v>1756697</v>
      </c>
      <c r="U112">
        <f>shipping_compact!E$26</f>
        <v>4380</v>
      </c>
      <c r="V112">
        <f>shipping_compact!F$26</f>
        <v>25</v>
      </c>
      <c r="W112">
        <f>shipping_compact!G$26</f>
        <v>1</v>
      </c>
      <c r="X112">
        <f>shipping_compact!I$26</f>
        <v>0</v>
      </c>
      <c r="Y112">
        <f>shipping_compact!J$26</f>
        <v>0.04</v>
      </c>
      <c r="Z112">
        <f>shipping_compact!L$26</f>
        <v>1.8083405345233519E-4</v>
      </c>
      <c r="AA112">
        <f>shipping_compact!D$27</f>
        <v>22653</v>
      </c>
      <c r="AB112">
        <f>shipping_compact!F$27</f>
        <v>30</v>
      </c>
      <c r="AC112">
        <f>shipping_compact!G$27</f>
        <v>0.99</v>
      </c>
      <c r="AD112">
        <f>shipping_compact!H$27</f>
        <v>0.83299999999999996</v>
      </c>
      <c r="AE112">
        <f>shipping_compact!J$27</f>
        <v>0.04</v>
      </c>
      <c r="AF112">
        <f>shipping_compact!K$27</f>
        <v>0</v>
      </c>
    </row>
    <row r="113" spans="1:32" x14ac:dyDescent="0.35">
      <c r="A113" t="s">
        <v>369</v>
      </c>
      <c r="B113" t="s">
        <v>519</v>
      </c>
      <c r="C113" t="str">
        <f t="shared" si="2"/>
        <v>ch3oh_terminal_AS-IDN</v>
      </c>
      <c r="D113" t="s">
        <v>204</v>
      </c>
      <c r="E113" s="22">
        <v>-0.88613326299999995</v>
      </c>
      <c r="F113" s="22">
        <v>131.27111149999999</v>
      </c>
      <c r="G113" s="23" t="s">
        <v>129</v>
      </c>
      <c r="H113">
        <f>shipping_compact!D$21</f>
        <v>7300000</v>
      </c>
      <c r="I113">
        <f>shipping_compact!E$21</f>
        <v>6000</v>
      </c>
      <c r="J113">
        <f>shipping_compact!F$21</f>
        <v>30</v>
      </c>
      <c r="K113">
        <f>shipping_compact!G$21</f>
        <v>0.59250000000000003</v>
      </c>
      <c r="L113">
        <f>shipping_compact!H$21</f>
        <v>1</v>
      </c>
      <c r="M113">
        <f>shipping_compact!J$21</f>
        <v>0.04</v>
      </c>
      <c r="N113">
        <f>shipping_compact!K$21</f>
        <v>0</v>
      </c>
      <c r="O113" s="26">
        <f>shipping_compact!D$25</f>
        <v>293456.89305233641</v>
      </c>
      <c r="P113" s="26">
        <f>shipping_compact!F$25</f>
        <v>30</v>
      </c>
      <c r="Q113" s="26">
        <f>shipping_compact!G$25</f>
        <v>1</v>
      </c>
      <c r="R113" s="24">
        <f>shipping_compact!J$25</f>
        <v>0.04</v>
      </c>
      <c r="S113" s="24">
        <f>shipping_compact!L$25</f>
        <v>0</v>
      </c>
      <c r="T113">
        <f>shipping_compact!D$26</f>
        <v>1756697</v>
      </c>
      <c r="U113">
        <f>shipping_compact!E$26</f>
        <v>4380</v>
      </c>
      <c r="V113">
        <f>shipping_compact!F$26</f>
        <v>25</v>
      </c>
      <c r="W113">
        <f>shipping_compact!G$26</f>
        <v>1</v>
      </c>
      <c r="X113">
        <f>shipping_compact!I$26</f>
        <v>0</v>
      </c>
      <c r="Y113">
        <f>shipping_compact!J$26</f>
        <v>0.04</v>
      </c>
      <c r="Z113">
        <f>shipping_compact!L$26</f>
        <v>1.8083405345233519E-4</v>
      </c>
      <c r="AA113">
        <f>shipping_compact!D$27</f>
        <v>22653</v>
      </c>
      <c r="AB113">
        <f>shipping_compact!F$27</f>
        <v>30</v>
      </c>
      <c r="AC113">
        <f>shipping_compact!G$27</f>
        <v>0.99</v>
      </c>
      <c r="AD113">
        <f>shipping_compact!H$27</f>
        <v>0.83299999999999996</v>
      </c>
      <c r="AE113">
        <f>shipping_compact!J$27</f>
        <v>0.04</v>
      </c>
      <c r="AF113">
        <f>shipping_compact!K$27</f>
        <v>0</v>
      </c>
    </row>
    <row r="114" spans="1:32" x14ac:dyDescent="0.35">
      <c r="A114" t="s">
        <v>370</v>
      </c>
      <c r="B114" t="s">
        <v>519</v>
      </c>
      <c r="C114" t="str">
        <f t="shared" si="2"/>
        <v>ch3oh_terminal_AS-CHN-SH</v>
      </c>
      <c r="D114" t="s">
        <v>203</v>
      </c>
      <c r="E114" s="22">
        <v>31.331849340000002</v>
      </c>
      <c r="F114" s="22">
        <v>121.63780029999999</v>
      </c>
      <c r="G114" s="23" t="s">
        <v>129</v>
      </c>
      <c r="H114">
        <f>shipping_compact!D$21</f>
        <v>7300000</v>
      </c>
      <c r="I114">
        <f>shipping_compact!E$21</f>
        <v>6000</v>
      </c>
      <c r="J114">
        <f>shipping_compact!F$21</f>
        <v>30</v>
      </c>
      <c r="K114">
        <f>shipping_compact!G$21</f>
        <v>0.59250000000000003</v>
      </c>
      <c r="L114">
        <f>shipping_compact!H$21</f>
        <v>1</v>
      </c>
      <c r="M114">
        <f>shipping_compact!J$21</f>
        <v>0.04</v>
      </c>
      <c r="N114">
        <f>shipping_compact!K$21</f>
        <v>0</v>
      </c>
      <c r="O114" s="26">
        <f>shipping_compact!D$25</f>
        <v>293456.89305233641</v>
      </c>
      <c r="P114" s="26">
        <f>shipping_compact!F$25</f>
        <v>30</v>
      </c>
      <c r="Q114" s="26">
        <f>shipping_compact!G$25</f>
        <v>1</v>
      </c>
      <c r="R114" s="24">
        <f>shipping_compact!J$25</f>
        <v>0.04</v>
      </c>
      <c r="S114" s="24">
        <f>shipping_compact!L$25</f>
        <v>0</v>
      </c>
      <c r="T114">
        <f>shipping_compact!D$26</f>
        <v>1756697</v>
      </c>
      <c r="U114">
        <f>shipping_compact!E$26</f>
        <v>4380</v>
      </c>
      <c r="V114">
        <f>shipping_compact!F$26</f>
        <v>25</v>
      </c>
      <c r="W114">
        <f>shipping_compact!G$26</f>
        <v>1</v>
      </c>
      <c r="X114">
        <f>shipping_compact!I$26</f>
        <v>0</v>
      </c>
      <c r="Y114">
        <f>shipping_compact!J$26</f>
        <v>0.04</v>
      </c>
      <c r="Z114">
        <f>shipping_compact!L$26</f>
        <v>1.8083405345233519E-4</v>
      </c>
      <c r="AA114">
        <f>shipping_compact!D$27</f>
        <v>22653</v>
      </c>
      <c r="AB114">
        <f>shipping_compact!F$27</f>
        <v>30</v>
      </c>
      <c r="AC114">
        <f>shipping_compact!G$27</f>
        <v>0.99</v>
      </c>
      <c r="AD114">
        <f>shipping_compact!H$27</f>
        <v>0.83299999999999996</v>
      </c>
      <c r="AE114">
        <f>shipping_compact!J$27</f>
        <v>0.04</v>
      </c>
      <c r="AF114">
        <f>shipping_compact!K$27</f>
        <v>0</v>
      </c>
    </row>
    <row r="115" spans="1:32" x14ac:dyDescent="0.35">
      <c r="A115" t="s">
        <v>370</v>
      </c>
      <c r="B115" t="s">
        <v>519</v>
      </c>
      <c r="C115" t="str">
        <f t="shared" si="2"/>
        <v>ch3oh_terminal_AS-CHN-SH</v>
      </c>
      <c r="D115" t="s">
        <v>371</v>
      </c>
      <c r="E115" s="22">
        <v>31.331849340000002</v>
      </c>
      <c r="F115" s="22">
        <v>121.63780029999999</v>
      </c>
      <c r="G115" s="23" t="s">
        <v>129</v>
      </c>
      <c r="H115">
        <f>shipping_compact!D$21</f>
        <v>7300000</v>
      </c>
      <c r="I115">
        <f>shipping_compact!E$21</f>
        <v>6000</v>
      </c>
      <c r="J115">
        <f>shipping_compact!F$21</f>
        <v>30</v>
      </c>
      <c r="K115">
        <f>shipping_compact!G$21</f>
        <v>0.59250000000000003</v>
      </c>
      <c r="L115">
        <f>shipping_compact!H$21</f>
        <v>1</v>
      </c>
      <c r="M115">
        <f>shipping_compact!J$21</f>
        <v>0.04</v>
      </c>
      <c r="N115">
        <f>shipping_compact!K$21</f>
        <v>0</v>
      </c>
      <c r="O115" s="26">
        <f>shipping_compact!D$25</f>
        <v>293456.89305233641</v>
      </c>
      <c r="P115" s="26">
        <f>shipping_compact!F$25</f>
        <v>30</v>
      </c>
      <c r="Q115" s="26">
        <f>shipping_compact!G$25</f>
        <v>1</v>
      </c>
      <c r="R115" s="24">
        <f>shipping_compact!J$25</f>
        <v>0.04</v>
      </c>
      <c r="S115" s="24">
        <f>shipping_compact!L$25</f>
        <v>0</v>
      </c>
      <c r="T115">
        <f>shipping_compact!D$26</f>
        <v>1756697</v>
      </c>
      <c r="U115">
        <f>shipping_compact!E$26</f>
        <v>4380</v>
      </c>
      <c r="V115">
        <f>shipping_compact!F$26</f>
        <v>25</v>
      </c>
      <c r="W115">
        <f>shipping_compact!G$26</f>
        <v>1</v>
      </c>
      <c r="X115">
        <f>shipping_compact!I$26</f>
        <v>0</v>
      </c>
      <c r="Y115">
        <f>shipping_compact!J$26</f>
        <v>0.04</v>
      </c>
      <c r="Z115">
        <f>shipping_compact!L$26</f>
        <v>1.8083405345233519E-4</v>
      </c>
      <c r="AA115">
        <f>shipping_compact!D$27</f>
        <v>22653</v>
      </c>
      <c r="AB115">
        <f>shipping_compact!F$27</f>
        <v>30</v>
      </c>
      <c r="AC115">
        <f>shipping_compact!G$27</f>
        <v>0.99</v>
      </c>
      <c r="AD115">
        <f>shipping_compact!H$27</f>
        <v>0.83299999999999996</v>
      </c>
      <c r="AE115">
        <f>shipping_compact!J$27</f>
        <v>0.04</v>
      </c>
      <c r="AF115">
        <f>shipping_compact!K$27</f>
        <v>0</v>
      </c>
    </row>
    <row r="116" spans="1:32" x14ac:dyDescent="0.35">
      <c r="A116" t="s">
        <v>372</v>
      </c>
      <c r="B116" t="s">
        <v>519</v>
      </c>
      <c r="C116" t="str">
        <f t="shared" si="2"/>
        <v>ch3oh_terminal_AS-JPN-TO</v>
      </c>
      <c r="D116" t="s">
        <v>210</v>
      </c>
      <c r="E116" s="22">
        <v>35.477499450000003</v>
      </c>
      <c r="F116" s="22">
        <v>139.67820470000001</v>
      </c>
      <c r="G116" s="23" t="s">
        <v>129</v>
      </c>
      <c r="H116">
        <f>shipping_compact!D$21</f>
        <v>7300000</v>
      </c>
      <c r="I116">
        <f>shipping_compact!E$21</f>
        <v>6000</v>
      </c>
      <c r="J116">
        <f>shipping_compact!F$21</f>
        <v>30</v>
      </c>
      <c r="K116">
        <f>shipping_compact!G$21</f>
        <v>0.59250000000000003</v>
      </c>
      <c r="L116">
        <f>shipping_compact!H$21</f>
        <v>1</v>
      </c>
      <c r="M116">
        <f>shipping_compact!J$21</f>
        <v>0.04</v>
      </c>
      <c r="N116">
        <f>shipping_compact!K$21</f>
        <v>0</v>
      </c>
      <c r="O116" s="26">
        <f>shipping_compact!D$25</f>
        <v>293456.89305233641</v>
      </c>
      <c r="P116" s="26">
        <f>shipping_compact!F$25</f>
        <v>30</v>
      </c>
      <c r="Q116" s="26">
        <f>shipping_compact!G$25</f>
        <v>1</v>
      </c>
      <c r="R116" s="24">
        <f>shipping_compact!J$25</f>
        <v>0.04</v>
      </c>
      <c r="S116" s="24">
        <f>shipping_compact!L$25</f>
        <v>0</v>
      </c>
      <c r="T116">
        <f>shipping_compact!D$26</f>
        <v>1756697</v>
      </c>
      <c r="U116">
        <f>shipping_compact!E$26</f>
        <v>4380</v>
      </c>
      <c r="V116">
        <f>shipping_compact!F$26</f>
        <v>25</v>
      </c>
      <c r="W116">
        <f>shipping_compact!G$26</f>
        <v>1</v>
      </c>
      <c r="X116">
        <f>shipping_compact!I$26</f>
        <v>0</v>
      </c>
      <c r="Y116">
        <f>shipping_compact!J$26</f>
        <v>0.04</v>
      </c>
      <c r="Z116">
        <f>shipping_compact!L$26</f>
        <v>1.8083405345233519E-4</v>
      </c>
      <c r="AA116">
        <f>shipping_compact!D$27</f>
        <v>22653</v>
      </c>
      <c r="AB116">
        <f>shipping_compact!F$27</f>
        <v>30</v>
      </c>
      <c r="AC116">
        <f>shipping_compact!G$27</f>
        <v>0.99</v>
      </c>
      <c r="AD116">
        <f>shipping_compact!H$27</f>
        <v>0.83299999999999996</v>
      </c>
      <c r="AE116">
        <f>shipping_compact!J$27</f>
        <v>0.04</v>
      </c>
      <c r="AF116">
        <f>shipping_compact!K$27</f>
        <v>0</v>
      </c>
    </row>
    <row r="117" spans="1:32" x14ac:dyDescent="0.35">
      <c r="A117" t="s">
        <v>372</v>
      </c>
      <c r="B117" t="s">
        <v>519</v>
      </c>
      <c r="C117" t="str">
        <f t="shared" si="2"/>
        <v>ch3oh_terminal_AS-JPN-TO</v>
      </c>
      <c r="D117" t="s">
        <v>373</v>
      </c>
      <c r="E117" s="22">
        <v>35.477499450000003</v>
      </c>
      <c r="F117" s="22">
        <v>139.67820470000001</v>
      </c>
      <c r="G117" s="23" t="s">
        <v>129</v>
      </c>
      <c r="H117">
        <f>shipping_compact!D$21</f>
        <v>7300000</v>
      </c>
      <c r="I117">
        <f>shipping_compact!E$21</f>
        <v>6000</v>
      </c>
      <c r="J117">
        <f>shipping_compact!F$21</f>
        <v>30</v>
      </c>
      <c r="K117">
        <f>shipping_compact!G$21</f>
        <v>0.59250000000000003</v>
      </c>
      <c r="L117">
        <f>shipping_compact!H$21</f>
        <v>1</v>
      </c>
      <c r="M117">
        <f>shipping_compact!J$21</f>
        <v>0.04</v>
      </c>
      <c r="N117">
        <f>shipping_compact!K$21</f>
        <v>0</v>
      </c>
      <c r="O117" s="26">
        <f>shipping_compact!D$25</f>
        <v>293456.89305233641</v>
      </c>
      <c r="P117" s="26">
        <f>shipping_compact!F$25</f>
        <v>30</v>
      </c>
      <c r="Q117" s="26">
        <f>shipping_compact!G$25</f>
        <v>1</v>
      </c>
      <c r="R117" s="24">
        <f>shipping_compact!J$25</f>
        <v>0.04</v>
      </c>
      <c r="S117" s="24">
        <f>shipping_compact!L$25</f>
        <v>0</v>
      </c>
      <c r="T117">
        <f>shipping_compact!D$26</f>
        <v>1756697</v>
      </c>
      <c r="U117">
        <f>shipping_compact!E$26</f>
        <v>4380</v>
      </c>
      <c r="V117">
        <f>shipping_compact!F$26</f>
        <v>25</v>
      </c>
      <c r="W117">
        <f>shipping_compact!G$26</f>
        <v>1</v>
      </c>
      <c r="X117">
        <f>shipping_compact!I$26</f>
        <v>0</v>
      </c>
      <c r="Y117">
        <f>shipping_compact!J$26</f>
        <v>0.04</v>
      </c>
      <c r="Z117">
        <f>shipping_compact!L$26</f>
        <v>1.8083405345233519E-4</v>
      </c>
      <c r="AA117">
        <f>shipping_compact!D$27</f>
        <v>22653</v>
      </c>
      <c r="AB117">
        <f>shipping_compact!F$27</f>
        <v>30</v>
      </c>
      <c r="AC117">
        <f>shipping_compact!G$27</f>
        <v>0.99</v>
      </c>
      <c r="AD117">
        <f>shipping_compact!H$27</f>
        <v>0.83299999999999996</v>
      </c>
      <c r="AE117">
        <f>shipping_compact!J$27</f>
        <v>0.04</v>
      </c>
      <c r="AF117">
        <f>shipping_compact!K$27</f>
        <v>0</v>
      </c>
    </row>
    <row r="118" spans="1:32" x14ac:dyDescent="0.35">
      <c r="A118" t="s">
        <v>374</v>
      </c>
      <c r="B118" t="s">
        <v>519</v>
      </c>
      <c r="C118" t="str">
        <f t="shared" si="2"/>
        <v>ch3oh_terminal_AS-VNM</v>
      </c>
      <c r="D118" t="s">
        <v>238</v>
      </c>
      <c r="E118" s="22">
        <v>20.71420444</v>
      </c>
      <c r="F118" s="22">
        <v>106.7809084</v>
      </c>
      <c r="G118" s="23" t="s">
        <v>129</v>
      </c>
      <c r="H118">
        <f>shipping_compact!D$21</f>
        <v>7300000</v>
      </c>
      <c r="I118">
        <f>shipping_compact!E$21</f>
        <v>6000</v>
      </c>
      <c r="J118">
        <f>shipping_compact!F$21</f>
        <v>30</v>
      </c>
      <c r="K118">
        <f>shipping_compact!G$21</f>
        <v>0.59250000000000003</v>
      </c>
      <c r="L118">
        <f>shipping_compact!H$21</f>
        <v>1</v>
      </c>
      <c r="M118">
        <f>shipping_compact!J$21</f>
        <v>0.04</v>
      </c>
      <c r="N118">
        <f>shipping_compact!K$21</f>
        <v>0</v>
      </c>
      <c r="O118" s="26">
        <f>shipping_compact!D$25</f>
        <v>293456.89305233641</v>
      </c>
      <c r="P118" s="26">
        <f>shipping_compact!F$25</f>
        <v>30</v>
      </c>
      <c r="Q118" s="26">
        <f>shipping_compact!G$25</f>
        <v>1</v>
      </c>
      <c r="R118" s="24">
        <f>shipping_compact!J$25</f>
        <v>0.04</v>
      </c>
      <c r="S118" s="24">
        <f>shipping_compact!L$25</f>
        <v>0</v>
      </c>
      <c r="T118">
        <f>shipping_compact!D$26</f>
        <v>1756697</v>
      </c>
      <c r="U118">
        <f>shipping_compact!E$26</f>
        <v>4380</v>
      </c>
      <c r="V118">
        <f>shipping_compact!F$26</f>
        <v>25</v>
      </c>
      <c r="W118">
        <f>shipping_compact!G$26</f>
        <v>1</v>
      </c>
      <c r="X118">
        <f>shipping_compact!I$26</f>
        <v>0</v>
      </c>
      <c r="Y118">
        <f>shipping_compact!J$26</f>
        <v>0.04</v>
      </c>
      <c r="Z118">
        <f>shipping_compact!L$26</f>
        <v>1.8083405345233519E-4</v>
      </c>
      <c r="AA118">
        <f>shipping_compact!D$27</f>
        <v>22653</v>
      </c>
      <c r="AB118">
        <f>shipping_compact!F$27</f>
        <v>30</v>
      </c>
      <c r="AC118">
        <f>shipping_compact!G$27</f>
        <v>0.99</v>
      </c>
      <c r="AD118">
        <f>shipping_compact!H$27</f>
        <v>0.83299999999999996</v>
      </c>
      <c r="AE118">
        <f>shipping_compact!J$27</f>
        <v>0.04</v>
      </c>
      <c r="AF118">
        <f>shipping_compact!K$27</f>
        <v>0</v>
      </c>
    </row>
    <row r="119" spans="1:32" x14ac:dyDescent="0.35">
      <c r="A119" t="s">
        <v>375</v>
      </c>
      <c r="B119" t="s">
        <v>519</v>
      </c>
      <c r="C119" t="str">
        <f t="shared" si="2"/>
        <v>ch3oh_terminal_OC-AUS-SW</v>
      </c>
      <c r="D119" t="s">
        <v>169</v>
      </c>
      <c r="E119" s="22">
        <v>-34.453054180000002</v>
      </c>
      <c r="F119" s="22">
        <v>150.89914529999999</v>
      </c>
      <c r="G119" s="23" t="s">
        <v>129</v>
      </c>
      <c r="H119">
        <f>shipping_compact!D$21</f>
        <v>7300000</v>
      </c>
      <c r="I119">
        <f>shipping_compact!E$21</f>
        <v>6000</v>
      </c>
      <c r="J119">
        <f>shipping_compact!F$21</f>
        <v>30</v>
      </c>
      <c r="K119">
        <f>shipping_compact!G$21</f>
        <v>0.59250000000000003</v>
      </c>
      <c r="L119">
        <f>shipping_compact!H$21</f>
        <v>1</v>
      </c>
      <c r="M119">
        <f>shipping_compact!J$21</f>
        <v>0.04</v>
      </c>
      <c r="N119">
        <f>shipping_compact!K$21</f>
        <v>0</v>
      </c>
      <c r="O119" s="26">
        <f>shipping_compact!D$25</f>
        <v>293456.89305233641</v>
      </c>
      <c r="P119" s="26">
        <f>shipping_compact!F$25</f>
        <v>30</v>
      </c>
      <c r="Q119" s="26">
        <f>shipping_compact!G$25</f>
        <v>1</v>
      </c>
      <c r="R119" s="24">
        <f>shipping_compact!J$25</f>
        <v>0.04</v>
      </c>
      <c r="S119" s="24">
        <f>shipping_compact!L$25</f>
        <v>0</v>
      </c>
      <c r="T119">
        <f>shipping_compact!D$26</f>
        <v>1756697</v>
      </c>
      <c r="U119">
        <f>shipping_compact!E$26</f>
        <v>4380</v>
      </c>
      <c r="V119">
        <f>shipping_compact!F$26</f>
        <v>25</v>
      </c>
      <c r="W119">
        <f>shipping_compact!G$26</f>
        <v>1</v>
      </c>
      <c r="X119">
        <f>shipping_compact!I$26</f>
        <v>0</v>
      </c>
      <c r="Y119">
        <f>shipping_compact!J$26</f>
        <v>0.04</v>
      </c>
      <c r="Z119">
        <f>shipping_compact!L$26</f>
        <v>1.8083405345233519E-4</v>
      </c>
      <c r="AA119">
        <f>shipping_compact!D$27</f>
        <v>22653</v>
      </c>
      <c r="AB119">
        <f>shipping_compact!F$27</f>
        <v>30</v>
      </c>
      <c r="AC119">
        <f>shipping_compact!G$27</f>
        <v>0.99</v>
      </c>
      <c r="AD119">
        <f>shipping_compact!H$27</f>
        <v>0.83299999999999996</v>
      </c>
      <c r="AE119">
        <f>shipping_compact!J$27</f>
        <v>0.04</v>
      </c>
      <c r="AF119">
        <f>shipping_compact!K$27</f>
        <v>0</v>
      </c>
    </row>
    <row r="120" spans="1:32" x14ac:dyDescent="0.35">
      <c r="A120" t="s">
        <v>376</v>
      </c>
      <c r="B120" t="s">
        <v>519</v>
      </c>
      <c r="C120" t="str">
        <f t="shared" si="2"/>
        <v>ch3oh_terminal_OC-AUS-WA</v>
      </c>
      <c r="D120" t="s">
        <v>169</v>
      </c>
      <c r="E120" s="22">
        <v>-21.80043045</v>
      </c>
      <c r="F120" s="22">
        <v>114.8019882</v>
      </c>
      <c r="G120" s="23" t="s">
        <v>129</v>
      </c>
      <c r="H120">
        <f>shipping_compact!D$21</f>
        <v>7300000</v>
      </c>
      <c r="I120">
        <f>shipping_compact!E$21</f>
        <v>6000</v>
      </c>
      <c r="J120">
        <f>shipping_compact!F$21</f>
        <v>30</v>
      </c>
      <c r="K120">
        <f>shipping_compact!G$21</f>
        <v>0.59250000000000003</v>
      </c>
      <c r="L120">
        <f>shipping_compact!H$21</f>
        <v>1</v>
      </c>
      <c r="M120">
        <f>shipping_compact!J$21</f>
        <v>0.04</v>
      </c>
      <c r="N120">
        <f>shipping_compact!K$21</f>
        <v>0</v>
      </c>
      <c r="O120" s="26">
        <f>shipping_compact!D$25</f>
        <v>293456.89305233641</v>
      </c>
      <c r="P120" s="26">
        <f>shipping_compact!F$25</f>
        <v>30</v>
      </c>
      <c r="Q120" s="26">
        <f>shipping_compact!G$25</f>
        <v>1</v>
      </c>
      <c r="R120" s="24">
        <f>shipping_compact!J$25</f>
        <v>0.04</v>
      </c>
      <c r="S120" s="24">
        <f>shipping_compact!L$25</f>
        <v>0</v>
      </c>
      <c r="T120">
        <f>shipping_compact!D$26</f>
        <v>1756697</v>
      </c>
      <c r="U120">
        <f>shipping_compact!E$26</f>
        <v>4380</v>
      </c>
      <c r="V120">
        <f>shipping_compact!F$26</f>
        <v>25</v>
      </c>
      <c r="W120">
        <f>shipping_compact!G$26</f>
        <v>1</v>
      </c>
      <c r="X120">
        <f>shipping_compact!I$26</f>
        <v>0</v>
      </c>
      <c r="Y120">
        <f>shipping_compact!J$26</f>
        <v>0.04</v>
      </c>
      <c r="Z120">
        <f>shipping_compact!L$26</f>
        <v>1.8083405345233519E-4</v>
      </c>
      <c r="AA120">
        <f>shipping_compact!D$27</f>
        <v>22653</v>
      </c>
      <c r="AB120">
        <f>shipping_compact!F$27</f>
        <v>30</v>
      </c>
      <c r="AC120">
        <f>shipping_compact!G$27</f>
        <v>0.99</v>
      </c>
      <c r="AD120">
        <f>shipping_compact!H$27</f>
        <v>0.83299999999999996</v>
      </c>
      <c r="AE120">
        <f>shipping_compact!J$27</f>
        <v>0.04</v>
      </c>
      <c r="AF120">
        <f>shipping_compact!K$27</f>
        <v>0</v>
      </c>
    </row>
    <row r="121" spans="1:32" x14ac:dyDescent="0.35">
      <c r="A121" t="s">
        <v>375</v>
      </c>
      <c r="B121" t="s">
        <v>519</v>
      </c>
      <c r="C121" t="str">
        <f t="shared" si="2"/>
        <v>ch3oh_terminal_OC-AUS-SW</v>
      </c>
      <c r="D121" t="s">
        <v>377</v>
      </c>
      <c r="E121" s="22">
        <v>-34.453054180000002</v>
      </c>
      <c r="F121" s="22">
        <v>150.89914529999999</v>
      </c>
      <c r="G121" s="23" t="s">
        <v>129</v>
      </c>
      <c r="H121">
        <f>shipping_compact!D$21</f>
        <v>7300000</v>
      </c>
      <c r="I121">
        <f>shipping_compact!E$21</f>
        <v>6000</v>
      </c>
      <c r="J121">
        <f>shipping_compact!F$21</f>
        <v>30</v>
      </c>
      <c r="K121">
        <f>shipping_compact!G$21</f>
        <v>0.59250000000000003</v>
      </c>
      <c r="L121">
        <f>shipping_compact!H$21</f>
        <v>1</v>
      </c>
      <c r="M121">
        <f>shipping_compact!J$21</f>
        <v>0.04</v>
      </c>
      <c r="N121">
        <f>shipping_compact!K$21</f>
        <v>0</v>
      </c>
      <c r="O121" s="26">
        <f>shipping_compact!D$25</f>
        <v>293456.89305233641</v>
      </c>
      <c r="P121" s="26">
        <f>shipping_compact!F$25</f>
        <v>30</v>
      </c>
      <c r="Q121" s="26">
        <f>shipping_compact!G$25</f>
        <v>1</v>
      </c>
      <c r="R121" s="24">
        <f>shipping_compact!J$25</f>
        <v>0.04</v>
      </c>
      <c r="S121" s="24">
        <f>shipping_compact!L$25</f>
        <v>0</v>
      </c>
      <c r="T121">
        <f>shipping_compact!D$26</f>
        <v>1756697</v>
      </c>
      <c r="U121">
        <f>shipping_compact!E$26</f>
        <v>4380</v>
      </c>
      <c r="V121">
        <f>shipping_compact!F$26</f>
        <v>25</v>
      </c>
      <c r="W121">
        <f>shipping_compact!G$26</f>
        <v>1</v>
      </c>
      <c r="X121">
        <f>shipping_compact!I$26</f>
        <v>0</v>
      </c>
      <c r="Y121">
        <f>shipping_compact!J$26</f>
        <v>0.04</v>
      </c>
      <c r="Z121">
        <f>shipping_compact!L$26</f>
        <v>1.8083405345233519E-4</v>
      </c>
      <c r="AA121">
        <f>shipping_compact!D$27</f>
        <v>22653</v>
      </c>
      <c r="AB121">
        <f>shipping_compact!F$27</f>
        <v>30</v>
      </c>
      <c r="AC121">
        <f>shipping_compact!G$27</f>
        <v>0.99</v>
      </c>
      <c r="AD121">
        <f>shipping_compact!H$27</f>
        <v>0.83299999999999996</v>
      </c>
      <c r="AE121">
        <f>shipping_compact!J$27</f>
        <v>0.04</v>
      </c>
      <c r="AF121">
        <f>shipping_compact!K$27</f>
        <v>0</v>
      </c>
    </row>
    <row r="122" spans="1:32" x14ac:dyDescent="0.35">
      <c r="A122" t="s">
        <v>376</v>
      </c>
      <c r="B122" t="s">
        <v>519</v>
      </c>
      <c r="C122" t="str">
        <f t="shared" si="2"/>
        <v>ch3oh_terminal_OC-AUS-WA</v>
      </c>
      <c r="D122" t="s">
        <v>378</v>
      </c>
      <c r="E122" s="22">
        <v>-21.80043045</v>
      </c>
      <c r="F122" s="22">
        <v>114.8019882</v>
      </c>
      <c r="G122" s="23" t="s">
        <v>129</v>
      </c>
      <c r="H122">
        <f>shipping_compact!D$21</f>
        <v>7300000</v>
      </c>
      <c r="I122">
        <f>shipping_compact!E$21</f>
        <v>6000</v>
      </c>
      <c r="J122">
        <f>shipping_compact!F$21</f>
        <v>30</v>
      </c>
      <c r="K122">
        <f>shipping_compact!G$21</f>
        <v>0.59250000000000003</v>
      </c>
      <c r="L122">
        <f>shipping_compact!H$21</f>
        <v>1</v>
      </c>
      <c r="M122">
        <f>shipping_compact!J$21</f>
        <v>0.04</v>
      </c>
      <c r="N122">
        <f>shipping_compact!K$21</f>
        <v>0</v>
      </c>
      <c r="O122" s="26">
        <f>shipping_compact!D$25</f>
        <v>293456.89305233641</v>
      </c>
      <c r="P122" s="26">
        <f>shipping_compact!F$25</f>
        <v>30</v>
      </c>
      <c r="Q122" s="26">
        <f>shipping_compact!G$25</f>
        <v>1</v>
      </c>
      <c r="R122" s="24">
        <f>shipping_compact!J$25</f>
        <v>0.04</v>
      </c>
      <c r="S122" s="24">
        <f>shipping_compact!L$25</f>
        <v>0</v>
      </c>
      <c r="T122">
        <f>shipping_compact!D$26</f>
        <v>1756697</v>
      </c>
      <c r="U122">
        <f>shipping_compact!E$26</f>
        <v>4380</v>
      </c>
      <c r="V122">
        <f>shipping_compact!F$26</f>
        <v>25</v>
      </c>
      <c r="W122">
        <f>shipping_compact!G$26</f>
        <v>1</v>
      </c>
      <c r="X122">
        <f>shipping_compact!I$26</f>
        <v>0</v>
      </c>
      <c r="Y122">
        <f>shipping_compact!J$26</f>
        <v>0.04</v>
      </c>
      <c r="Z122">
        <f>shipping_compact!L$26</f>
        <v>1.8083405345233519E-4</v>
      </c>
      <c r="AA122">
        <f>shipping_compact!D$27</f>
        <v>22653</v>
      </c>
      <c r="AB122">
        <f>shipping_compact!F$27</f>
        <v>30</v>
      </c>
      <c r="AC122">
        <f>shipping_compact!G$27</f>
        <v>0.99</v>
      </c>
      <c r="AD122">
        <f>shipping_compact!H$27</f>
        <v>0.83299999999999996</v>
      </c>
      <c r="AE122">
        <f>shipping_compact!J$27</f>
        <v>0.04</v>
      </c>
      <c r="AF122">
        <f>shipping_compact!K$27</f>
        <v>0</v>
      </c>
    </row>
    <row r="123" spans="1:32" x14ac:dyDescent="0.35">
      <c r="A123" t="s">
        <v>379</v>
      </c>
      <c r="B123" t="s">
        <v>519</v>
      </c>
      <c r="C123" t="str">
        <f t="shared" si="2"/>
        <v>ch3oh_terminal_OC-NZL</v>
      </c>
      <c r="D123" t="s">
        <v>186</v>
      </c>
      <c r="E123" s="22">
        <v>-41.341304000000001</v>
      </c>
      <c r="F123" s="22">
        <v>174.775081</v>
      </c>
      <c r="G123" s="23" t="s">
        <v>129</v>
      </c>
      <c r="H123">
        <f>shipping_compact!D$21</f>
        <v>7300000</v>
      </c>
      <c r="I123">
        <f>shipping_compact!E$21</f>
        <v>6000</v>
      </c>
      <c r="J123">
        <f>shipping_compact!F$21</f>
        <v>30</v>
      </c>
      <c r="K123">
        <f>shipping_compact!G$21</f>
        <v>0.59250000000000003</v>
      </c>
      <c r="L123">
        <f>shipping_compact!H$21</f>
        <v>1</v>
      </c>
      <c r="M123">
        <f>shipping_compact!J$21</f>
        <v>0.04</v>
      </c>
      <c r="N123">
        <f>shipping_compact!K$21</f>
        <v>0</v>
      </c>
      <c r="O123" s="26">
        <f>shipping_compact!D$25</f>
        <v>293456.89305233641</v>
      </c>
      <c r="P123" s="26">
        <f>shipping_compact!F$25</f>
        <v>30</v>
      </c>
      <c r="Q123" s="26">
        <f>shipping_compact!G$25</f>
        <v>1</v>
      </c>
      <c r="R123" s="24">
        <f>shipping_compact!J$25</f>
        <v>0.04</v>
      </c>
      <c r="S123" s="24">
        <f>shipping_compact!L$25</f>
        <v>0</v>
      </c>
      <c r="T123">
        <f>shipping_compact!D$26</f>
        <v>1756697</v>
      </c>
      <c r="U123">
        <f>shipping_compact!E$26</f>
        <v>4380</v>
      </c>
      <c r="V123">
        <f>shipping_compact!F$26</f>
        <v>25</v>
      </c>
      <c r="W123">
        <f>shipping_compact!G$26</f>
        <v>1</v>
      </c>
      <c r="X123">
        <f>shipping_compact!I$26</f>
        <v>0</v>
      </c>
      <c r="Y123">
        <f>shipping_compact!J$26</f>
        <v>0.04</v>
      </c>
      <c r="Z123">
        <f>shipping_compact!L$26</f>
        <v>1.8083405345233519E-4</v>
      </c>
      <c r="AA123">
        <f>shipping_compact!D$27</f>
        <v>22653</v>
      </c>
      <c r="AB123">
        <f>shipping_compact!F$27</f>
        <v>30</v>
      </c>
      <c r="AC123">
        <f>shipping_compact!G$27</f>
        <v>0.99</v>
      </c>
      <c r="AD123">
        <f>shipping_compact!H$27</f>
        <v>0.83299999999999996</v>
      </c>
      <c r="AE123">
        <f>shipping_compact!J$27</f>
        <v>0.04</v>
      </c>
      <c r="AF123">
        <f>shipping_compact!K$27</f>
        <v>0</v>
      </c>
    </row>
    <row r="124" spans="1:32" x14ac:dyDescent="0.35">
      <c r="A124" t="s">
        <v>380</v>
      </c>
      <c r="B124" t="s">
        <v>519</v>
      </c>
      <c r="C124" t="str">
        <f t="shared" si="2"/>
        <v>ch3oh_terminal_NA-USA-CA</v>
      </c>
      <c r="D124" t="s">
        <v>195</v>
      </c>
      <c r="E124" s="22">
        <v>37.805478909999998</v>
      </c>
      <c r="F124" s="22">
        <v>-122.31633100000001</v>
      </c>
      <c r="G124" s="23" t="s">
        <v>129</v>
      </c>
      <c r="H124">
        <f>shipping_compact!D$21</f>
        <v>7300000</v>
      </c>
      <c r="I124">
        <f>shipping_compact!E$21</f>
        <v>6000</v>
      </c>
      <c r="J124">
        <f>shipping_compact!F$21</f>
        <v>30</v>
      </c>
      <c r="K124">
        <f>shipping_compact!G$21</f>
        <v>0.59250000000000003</v>
      </c>
      <c r="L124">
        <f>shipping_compact!H$21</f>
        <v>1</v>
      </c>
      <c r="M124">
        <f>shipping_compact!J$21</f>
        <v>0.04</v>
      </c>
      <c r="N124">
        <f>shipping_compact!K$21</f>
        <v>0</v>
      </c>
      <c r="O124" s="26">
        <f>shipping_compact!D$25</f>
        <v>293456.89305233641</v>
      </c>
      <c r="P124" s="26">
        <f>shipping_compact!F$25</f>
        <v>30</v>
      </c>
      <c r="Q124" s="26">
        <f>shipping_compact!G$25</f>
        <v>1</v>
      </c>
      <c r="R124" s="24">
        <f>shipping_compact!J$25</f>
        <v>0.04</v>
      </c>
      <c r="S124" s="24">
        <f>shipping_compact!L$25</f>
        <v>0</v>
      </c>
      <c r="T124">
        <f>shipping_compact!D$26</f>
        <v>1756697</v>
      </c>
      <c r="U124">
        <f>shipping_compact!E$26</f>
        <v>4380</v>
      </c>
      <c r="V124">
        <f>shipping_compact!F$26</f>
        <v>25</v>
      </c>
      <c r="W124">
        <f>shipping_compact!G$26</f>
        <v>1</v>
      </c>
      <c r="X124">
        <f>shipping_compact!I$26</f>
        <v>0</v>
      </c>
      <c r="Y124">
        <f>shipping_compact!J$26</f>
        <v>0.04</v>
      </c>
      <c r="Z124">
        <f>shipping_compact!L$26</f>
        <v>1.8083405345233519E-4</v>
      </c>
      <c r="AA124">
        <f>shipping_compact!D$27</f>
        <v>22653</v>
      </c>
      <c r="AB124">
        <f>shipping_compact!F$27</f>
        <v>30</v>
      </c>
      <c r="AC124">
        <f>shipping_compact!G$27</f>
        <v>0.99</v>
      </c>
      <c r="AD124">
        <f>shipping_compact!H$27</f>
        <v>0.83299999999999996</v>
      </c>
      <c r="AE124">
        <f>shipping_compact!J$27</f>
        <v>0.04</v>
      </c>
      <c r="AF124">
        <f>shipping_compact!K$27</f>
        <v>0</v>
      </c>
    </row>
    <row r="125" spans="1:32" x14ac:dyDescent="0.35">
      <c r="A125" t="s">
        <v>381</v>
      </c>
      <c r="B125" t="s">
        <v>519</v>
      </c>
      <c r="C125" t="str">
        <f t="shared" si="2"/>
        <v>ch3oh_terminal_NA-USA-SV</v>
      </c>
      <c r="D125" t="s">
        <v>195</v>
      </c>
      <c r="E125" s="22">
        <v>38.350882130000002</v>
      </c>
      <c r="F125" s="22">
        <v>-76.411079920000006</v>
      </c>
      <c r="G125" s="23" t="s">
        <v>129</v>
      </c>
      <c r="H125">
        <f>shipping_compact!D$21</f>
        <v>7300000</v>
      </c>
      <c r="I125">
        <f>shipping_compact!E$21</f>
        <v>6000</v>
      </c>
      <c r="J125">
        <f>shipping_compact!F$21</f>
        <v>30</v>
      </c>
      <c r="K125">
        <f>shipping_compact!G$21</f>
        <v>0.59250000000000003</v>
      </c>
      <c r="L125">
        <f>shipping_compact!H$21</f>
        <v>1</v>
      </c>
      <c r="M125">
        <f>shipping_compact!J$21</f>
        <v>0.04</v>
      </c>
      <c r="N125">
        <f>shipping_compact!K$21</f>
        <v>0</v>
      </c>
      <c r="O125" s="26">
        <f>shipping_compact!D$25</f>
        <v>293456.89305233641</v>
      </c>
      <c r="P125" s="26">
        <f>shipping_compact!F$25</f>
        <v>30</v>
      </c>
      <c r="Q125" s="26">
        <f>shipping_compact!G$25</f>
        <v>1</v>
      </c>
      <c r="R125" s="24">
        <f>shipping_compact!J$25</f>
        <v>0.04</v>
      </c>
      <c r="S125" s="24">
        <f>shipping_compact!L$25</f>
        <v>0</v>
      </c>
      <c r="T125">
        <f>shipping_compact!D$26</f>
        <v>1756697</v>
      </c>
      <c r="U125">
        <f>shipping_compact!E$26</f>
        <v>4380</v>
      </c>
      <c r="V125">
        <f>shipping_compact!F$26</f>
        <v>25</v>
      </c>
      <c r="W125">
        <f>shipping_compact!G$26</f>
        <v>1</v>
      </c>
      <c r="X125">
        <f>shipping_compact!I$26</f>
        <v>0</v>
      </c>
      <c r="Y125">
        <f>shipping_compact!J$26</f>
        <v>0.04</v>
      </c>
      <c r="Z125">
        <f>shipping_compact!L$26</f>
        <v>1.8083405345233519E-4</v>
      </c>
      <c r="AA125">
        <f>shipping_compact!D$27</f>
        <v>22653</v>
      </c>
      <c r="AB125">
        <f>shipping_compact!F$27</f>
        <v>30</v>
      </c>
      <c r="AC125">
        <f>shipping_compact!G$27</f>
        <v>0.99</v>
      </c>
      <c r="AD125">
        <f>shipping_compact!H$27</f>
        <v>0.83299999999999996</v>
      </c>
      <c r="AE125">
        <f>shipping_compact!J$27</f>
        <v>0.04</v>
      </c>
      <c r="AF125">
        <f>shipping_compact!K$27</f>
        <v>0</v>
      </c>
    </row>
    <row r="126" spans="1:32" x14ac:dyDescent="0.35">
      <c r="A126" t="s">
        <v>382</v>
      </c>
      <c r="B126" t="s">
        <v>519</v>
      </c>
      <c r="C126" t="str">
        <f t="shared" si="2"/>
        <v>ch3oh_terminal_NA-USA-SA</v>
      </c>
      <c r="D126" t="s">
        <v>195</v>
      </c>
      <c r="E126" s="22">
        <v>30.27045948</v>
      </c>
      <c r="F126" s="22">
        <v>-89.391982049999996</v>
      </c>
      <c r="G126" s="23" t="s">
        <v>129</v>
      </c>
      <c r="H126">
        <f>shipping_compact!D$21</f>
        <v>7300000</v>
      </c>
      <c r="I126">
        <f>shipping_compact!E$21</f>
        <v>6000</v>
      </c>
      <c r="J126">
        <f>shipping_compact!F$21</f>
        <v>30</v>
      </c>
      <c r="K126">
        <f>shipping_compact!G$21</f>
        <v>0.59250000000000003</v>
      </c>
      <c r="L126">
        <f>shipping_compact!H$21</f>
        <v>1</v>
      </c>
      <c r="M126">
        <f>shipping_compact!J$21</f>
        <v>0.04</v>
      </c>
      <c r="N126">
        <f>shipping_compact!K$21</f>
        <v>0</v>
      </c>
      <c r="O126" s="26">
        <f>shipping_compact!D$25</f>
        <v>293456.89305233641</v>
      </c>
      <c r="P126" s="26">
        <f>shipping_compact!F$25</f>
        <v>30</v>
      </c>
      <c r="Q126" s="26">
        <f>shipping_compact!G$25</f>
        <v>1</v>
      </c>
      <c r="R126" s="24">
        <f>shipping_compact!J$25</f>
        <v>0.04</v>
      </c>
      <c r="S126" s="24">
        <f>shipping_compact!L$25</f>
        <v>0</v>
      </c>
      <c r="T126">
        <f>shipping_compact!D$26</f>
        <v>1756697</v>
      </c>
      <c r="U126">
        <f>shipping_compact!E$26</f>
        <v>4380</v>
      </c>
      <c r="V126">
        <f>shipping_compact!F$26</f>
        <v>25</v>
      </c>
      <c r="W126">
        <f>shipping_compact!G$26</f>
        <v>1</v>
      </c>
      <c r="X126">
        <f>shipping_compact!I$26</f>
        <v>0</v>
      </c>
      <c r="Y126">
        <f>shipping_compact!J$26</f>
        <v>0.04</v>
      </c>
      <c r="Z126">
        <f>shipping_compact!L$26</f>
        <v>1.8083405345233519E-4</v>
      </c>
      <c r="AA126">
        <f>shipping_compact!D$27</f>
        <v>22653</v>
      </c>
      <c r="AB126">
        <f>shipping_compact!F$27</f>
        <v>30</v>
      </c>
      <c r="AC126">
        <f>shipping_compact!G$27</f>
        <v>0.99</v>
      </c>
      <c r="AD126">
        <f>shipping_compact!H$27</f>
        <v>0.83299999999999996</v>
      </c>
      <c r="AE126">
        <f>shipping_compact!J$27</f>
        <v>0.04</v>
      </c>
      <c r="AF126">
        <f>shipping_compact!K$27</f>
        <v>0</v>
      </c>
    </row>
    <row r="127" spans="1:32" x14ac:dyDescent="0.35">
      <c r="A127" t="s">
        <v>380</v>
      </c>
      <c r="B127" t="s">
        <v>519</v>
      </c>
      <c r="C127" t="str">
        <f t="shared" si="2"/>
        <v>ch3oh_terminal_NA-USA-CA</v>
      </c>
      <c r="D127" t="s">
        <v>383</v>
      </c>
      <c r="E127" s="22">
        <v>37.805478909999998</v>
      </c>
      <c r="F127" s="22">
        <v>-122.31633100000001</v>
      </c>
      <c r="G127" s="23" t="s">
        <v>129</v>
      </c>
      <c r="H127">
        <f>shipping_compact!D$21</f>
        <v>7300000</v>
      </c>
      <c r="I127">
        <f>shipping_compact!E$21</f>
        <v>6000</v>
      </c>
      <c r="J127">
        <f>shipping_compact!F$21</f>
        <v>30</v>
      </c>
      <c r="K127">
        <f>shipping_compact!G$21</f>
        <v>0.59250000000000003</v>
      </c>
      <c r="L127">
        <f>shipping_compact!H$21</f>
        <v>1</v>
      </c>
      <c r="M127">
        <f>shipping_compact!J$21</f>
        <v>0.04</v>
      </c>
      <c r="N127">
        <f>shipping_compact!K$21</f>
        <v>0</v>
      </c>
      <c r="O127" s="26">
        <f>shipping_compact!D$25</f>
        <v>293456.89305233641</v>
      </c>
      <c r="P127" s="26">
        <f>shipping_compact!F$25</f>
        <v>30</v>
      </c>
      <c r="Q127" s="26">
        <f>shipping_compact!G$25</f>
        <v>1</v>
      </c>
      <c r="R127" s="24">
        <f>shipping_compact!J$25</f>
        <v>0.04</v>
      </c>
      <c r="S127" s="24">
        <f>shipping_compact!L$25</f>
        <v>0</v>
      </c>
      <c r="T127">
        <f>shipping_compact!D$26</f>
        <v>1756697</v>
      </c>
      <c r="U127">
        <f>shipping_compact!E$26</f>
        <v>4380</v>
      </c>
      <c r="V127">
        <f>shipping_compact!F$26</f>
        <v>25</v>
      </c>
      <c r="W127">
        <f>shipping_compact!G$26</f>
        <v>1</v>
      </c>
      <c r="X127">
        <f>shipping_compact!I$26</f>
        <v>0</v>
      </c>
      <c r="Y127">
        <f>shipping_compact!J$26</f>
        <v>0.04</v>
      </c>
      <c r="Z127">
        <f>shipping_compact!L$26</f>
        <v>1.8083405345233519E-4</v>
      </c>
      <c r="AA127">
        <f>shipping_compact!D$27</f>
        <v>22653</v>
      </c>
      <c r="AB127">
        <f>shipping_compact!F$27</f>
        <v>30</v>
      </c>
      <c r="AC127">
        <f>shipping_compact!G$27</f>
        <v>0.99</v>
      </c>
      <c r="AD127">
        <f>shipping_compact!H$27</f>
        <v>0.83299999999999996</v>
      </c>
      <c r="AE127">
        <f>shipping_compact!J$27</f>
        <v>0.04</v>
      </c>
      <c r="AF127">
        <f>shipping_compact!K$27</f>
        <v>0</v>
      </c>
    </row>
    <row r="128" spans="1:32" x14ac:dyDescent="0.35">
      <c r="A128" t="s">
        <v>381</v>
      </c>
      <c r="B128" t="s">
        <v>519</v>
      </c>
      <c r="C128" t="str">
        <f t="shared" si="2"/>
        <v>ch3oh_terminal_NA-USA-SV</v>
      </c>
      <c r="D128" t="s">
        <v>384</v>
      </c>
      <c r="E128" s="22">
        <v>38.350882130000002</v>
      </c>
      <c r="F128" s="22">
        <v>-76.411079920000006</v>
      </c>
      <c r="G128" s="23" t="s">
        <v>129</v>
      </c>
      <c r="H128">
        <f>shipping_compact!D$21</f>
        <v>7300000</v>
      </c>
      <c r="I128">
        <f>shipping_compact!E$21</f>
        <v>6000</v>
      </c>
      <c r="J128">
        <f>shipping_compact!F$21</f>
        <v>30</v>
      </c>
      <c r="K128">
        <f>shipping_compact!G$21</f>
        <v>0.59250000000000003</v>
      </c>
      <c r="L128">
        <f>shipping_compact!H$21</f>
        <v>1</v>
      </c>
      <c r="M128">
        <f>shipping_compact!J$21</f>
        <v>0.04</v>
      </c>
      <c r="N128">
        <f>shipping_compact!K$21</f>
        <v>0</v>
      </c>
      <c r="O128" s="26">
        <f>shipping_compact!D$25</f>
        <v>293456.89305233641</v>
      </c>
      <c r="P128" s="26">
        <f>shipping_compact!F$25</f>
        <v>30</v>
      </c>
      <c r="Q128" s="26">
        <f>shipping_compact!G$25</f>
        <v>1</v>
      </c>
      <c r="R128" s="24">
        <f>shipping_compact!J$25</f>
        <v>0.04</v>
      </c>
      <c r="S128" s="24">
        <f>shipping_compact!L$25</f>
        <v>0</v>
      </c>
      <c r="T128">
        <f>shipping_compact!D$26</f>
        <v>1756697</v>
      </c>
      <c r="U128">
        <f>shipping_compact!E$26</f>
        <v>4380</v>
      </c>
      <c r="V128">
        <f>shipping_compact!F$26</f>
        <v>25</v>
      </c>
      <c r="W128">
        <f>shipping_compact!G$26</f>
        <v>1</v>
      </c>
      <c r="X128">
        <f>shipping_compact!I$26</f>
        <v>0</v>
      </c>
      <c r="Y128">
        <f>shipping_compact!J$26</f>
        <v>0.04</v>
      </c>
      <c r="Z128">
        <f>shipping_compact!L$26</f>
        <v>1.8083405345233519E-4</v>
      </c>
      <c r="AA128">
        <f>shipping_compact!D$27</f>
        <v>22653</v>
      </c>
      <c r="AB128">
        <f>shipping_compact!F$27</f>
        <v>30</v>
      </c>
      <c r="AC128">
        <f>shipping_compact!G$27</f>
        <v>0.99</v>
      </c>
      <c r="AD128">
        <f>shipping_compact!H$27</f>
        <v>0.83299999999999996</v>
      </c>
      <c r="AE128">
        <f>shipping_compact!J$27</f>
        <v>0.04</v>
      </c>
      <c r="AF128">
        <f>shipping_compact!K$27</f>
        <v>0</v>
      </c>
    </row>
    <row r="129" spans="1:32" x14ac:dyDescent="0.35">
      <c r="A129" t="s">
        <v>382</v>
      </c>
      <c r="B129" t="s">
        <v>519</v>
      </c>
      <c r="C129" t="str">
        <f t="shared" si="2"/>
        <v>ch3oh_terminal_NA-USA-SA</v>
      </c>
      <c r="D129" t="s">
        <v>385</v>
      </c>
      <c r="E129" s="22">
        <v>30.27045948</v>
      </c>
      <c r="F129" s="22">
        <v>-89.391982049999996</v>
      </c>
      <c r="G129" s="23" t="s">
        <v>129</v>
      </c>
      <c r="H129">
        <f>shipping_compact!D$21</f>
        <v>7300000</v>
      </c>
      <c r="I129">
        <f>shipping_compact!E$21</f>
        <v>6000</v>
      </c>
      <c r="J129">
        <f>shipping_compact!F$21</f>
        <v>30</v>
      </c>
      <c r="K129">
        <f>shipping_compact!G$21</f>
        <v>0.59250000000000003</v>
      </c>
      <c r="L129">
        <f>shipping_compact!H$21</f>
        <v>1</v>
      </c>
      <c r="M129">
        <f>shipping_compact!J$21</f>
        <v>0.04</v>
      </c>
      <c r="N129">
        <f>shipping_compact!K$21</f>
        <v>0</v>
      </c>
      <c r="O129" s="26">
        <f>shipping_compact!D$25</f>
        <v>293456.89305233641</v>
      </c>
      <c r="P129" s="26">
        <f>shipping_compact!F$25</f>
        <v>30</v>
      </c>
      <c r="Q129" s="26">
        <f>shipping_compact!G$25</f>
        <v>1</v>
      </c>
      <c r="R129" s="24">
        <f>shipping_compact!J$25</f>
        <v>0.04</v>
      </c>
      <c r="S129" s="24">
        <f>shipping_compact!L$25</f>
        <v>0</v>
      </c>
      <c r="T129">
        <f>shipping_compact!D$26</f>
        <v>1756697</v>
      </c>
      <c r="U129">
        <f>shipping_compact!E$26</f>
        <v>4380</v>
      </c>
      <c r="V129">
        <f>shipping_compact!F$26</f>
        <v>25</v>
      </c>
      <c r="W129">
        <f>shipping_compact!G$26</f>
        <v>1</v>
      </c>
      <c r="X129">
        <f>shipping_compact!I$26</f>
        <v>0</v>
      </c>
      <c r="Y129">
        <f>shipping_compact!J$26</f>
        <v>0.04</v>
      </c>
      <c r="Z129">
        <f>shipping_compact!L$26</f>
        <v>1.8083405345233519E-4</v>
      </c>
      <c r="AA129">
        <f>shipping_compact!D$27</f>
        <v>22653</v>
      </c>
      <c r="AB129">
        <f>shipping_compact!F$27</f>
        <v>30</v>
      </c>
      <c r="AC129">
        <f>shipping_compact!G$27</f>
        <v>0.99</v>
      </c>
      <c r="AD129">
        <f>shipping_compact!H$27</f>
        <v>0.83299999999999996</v>
      </c>
      <c r="AE129">
        <f>shipping_compact!J$27</f>
        <v>0.04</v>
      </c>
      <c r="AF129">
        <f>shipping_compact!K$27</f>
        <v>0</v>
      </c>
    </row>
    <row r="130" spans="1:32" x14ac:dyDescent="0.35">
      <c r="A130" t="s">
        <v>386</v>
      </c>
      <c r="B130" t="s">
        <v>519</v>
      </c>
      <c r="C130" t="str">
        <f t="shared" si="2"/>
        <v>ch3oh_terminal_NA-MEX</v>
      </c>
      <c r="D130" t="s">
        <v>184</v>
      </c>
      <c r="E130" s="22">
        <v>18.155675850000002</v>
      </c>
      <c r="F130" s="22">
        <v>-94.536118009999996</v>
      </c>
      <c r="G130" s="23" t="s">
        <v>129</v>
      </c>
      <c r="H130">
        <f>shipping_compact!D$21</f>
        <v>7300000</v>
      </c>
      <c r="I130">
        <f>shipping_compact!E$21</f>
        <v>6000</v>
      </c>
      <c r="J130">
        <f>shipping_compact!F$21</f>
        <v>30</v>
      </c>
      <c r="K130">
        <f>shipping_compact!G$21</f>
        <v>0.59250000000000003</v>
      </c>
      <c r="L130">
        <f>shipping_compact!H$21</f>
        <v>1</v>
      </c>
      <c r="M130">
        <f>shipping_compact!J$21</f>
        <v>0.04</v>
      </c>
      <c r="N130">
        <f>shipping_compact!K$21</f>
        <v>0</v>
      </c>
      <c r="O130" s="26">
        <f>shipping_compact!D$25</f>
        <v>293456.89305233641</v>
      </c>
      <c r="P130" s="26">
        <f>shipping_compact!F$25</f>
        <v>30</v>
      </c>
      <c r="Q130" s="26">
        <f>shipping_compact!G$25</f>
        <v>1</v>
      </c>
      <c r="R130" s="24">
        <f>shipping_compact!J$25</f>
        <v>0.04</v>
      </c>
      <c r="S130" s="24">
        <f>shipping_compact!L$25</f>
        <v>0</v>
      </c>
      <c r="T130">
        <f>shipping_compact!D$26</f>
        <v>1756697</v>
      </c>
      <c r="U130">
        <f>shipping_compact!E$26</f>
        <v>4380</v>
      </c>
      <c r="V130">
        <f>shipping_compact!F$26</f>
        <v>25</v>
      </c>
      <c r="W130">
        <f>shipping_compact!G$26</f>
        <v>1</v>
      </c>
      <c r="X130">
        <f>shipping_compact!I$26</f>
        <v>0</v>
      </c>
      <c r="Y130">
        <f>shipping_compact!J$26</f>
        <v>0.04</v>
      </c>
      <c r="Z130">
        <f>shipping_compact!L$26</f>
        <v>1.8083405345233519E-4</v>
      </c>
      <c r="AA130">
        <f>shipping_compact!D$27</f>
        <v>22653</v>
      </c>
      <c r="AB130">
        <f>shipping_compact!F$27</f>
        <v>30</v>
      </c>
      <c r="AC130">
        <f>shipping_compact!G$27</f>
        <v>0.99</v>
      </c>
      <c r="AD130">
        <f>shipping_compact!H$27</f>
        <v>0.83299999999999996</v>
      </c>
      <c r="AE130">
        <f>shipping_compact!J$27</f>
        <v>0.04</v>
      </c>
      <c r="AF130">
        <f>shipping_compact!K$27</f>
        <v>0</v>
      </c>
    </row>
    <row r="131" spans="1:32" x14ac:dyDescent="0.35">
      <c r="A131" t="s">
        <v>387</v>
      </c>
      <c r="B131" t="s">
        <v>519</v>
      </c>
      <c r="C131" t="str">
        <f t="shared" si="2"/>
        <v>ch3oh_terminal_NA-NIC</v>
      </c>
      <c r="D131" t="s">
        <v>185</v>
      </c>
      <c r="E131" s="22">
        <v>12.20558819</v>
      </c>
      <c r="F131" s="22">
        <v>-86.761905609999999</v>
      </c>
      <c r="G131" s="23" t="s">
        <v>129</v>
      </c>
      <c r="H131">
        <f>shipping_compact!D$21</f>
        <v>7300000</v>
      </c>
      <c r="I131">
        <f>shipping_compact!E$21</f>
        <v>6000</v>
      </c>
      <c r="J131">
        <f>shipping_compact!F$21</f>
        <v>30</v>
      </c>
      <c r="K131">
        <f>shipping_compact!G$21</f>
        <v>0.59250000000000003</v>
      </c>
      <c r="L131">
        <f>shipping_compact!H$21</f>
        <v>1</v>
      </c>
      <c r="M131">
        <f>shipping_compact!J$21</f>
        <v>0.04</v>
      </c>
      <c r="N131">
        <f>shipping_compact!K$21</f>
        <v>0</v>
      </c>
      <c r="O131" s="26">
        <f>shipping_compact!D$25</f>
        <v>293456.89305233641</v>
      </c>
      <c r="P131" s="26">
        <f>shipping_compact!F$25</f>
        <v>30</v>
      </c>
      <c r="Q131" s="26">
        <f>shipping_compact!G$25</f>
        <v>1</v>
      </c>
      <c r="R131" s="24">
        <f>shipping_compact!J$25</f>
        <v>0.04</v>
      </c>
      <c r="S131" s="24">
        <f>shipping_compact!L$25</f>
        <v>0</v>
      </c>
      <c r="T131">
        <f>shipping_compact!D$26</f>
        <v>1756697</v>
      </c>
      <c r="U131">
        <f>shipping_compact!E$26</f>
        <v>4380</v>
      </c>
      <c r="V131">
        <f>shipping_compact!F$26</f>
        <v>25</v>
      </c>
      <c r="W131">
        <f>shipping_compact!G$26</f>
        <v>1</v>
      </c>
      <c r="X131">
        <f>shipping_compact!I$26</f>
        <v>0</v>
      </c>
      <c r="Y131">
        <f>shipping_compact!J$26</f>
        <v>0.04</v>
      </c>
      <c r="Z131">
        <f>shipping_compact!L$26</f>
        <v>1.8083405345233519E-4</v>
      </c>
      <c r="AA131">
        <f>shipping_compact!D$27</f>
        <v>22653</v>
      </c>
      <c r="AB131">
        <f>shipping_compact!F$27</f>
        <v>30</v>
      </c>
      <c r="AC131">
        <f>shipping_compact!G$27</f>
        <v>0.99</v>
      </c>
      <c r="AD131">
        <f>shipping_compact!H$27</f>
        <v>0.83299999999999996</v>
      </c>
      <c r="AE131">
        <f>shipping_compact!J$27</f>
        <v>0.04</v>
      </c>
      <c r="AF131">
        <f>shipping_compact!K$27</f>
        <v>0</v>
      </c>
    </row>
    <row r="132" spans="1:32" x14ac:dyDescent="0.35">
      <c r="A132" t="s">
        <v>388</v>
      </c>
      <c r="B132" t="s">
        <v>519</v>
      </c>
      <c r="C132" t="str">
        <f t="shared" si="2"/>
        <v>ch3oh_terminal_NA-DOM</v>
      </c>
      <c r="D132" t="s">
        <v>177</v>
      </c>
      <c r="E132" s="22">
        <v>18.423848960000001</v>
      </c>
      <c r="F132" s="22">
        <v>-69.633278090000005</v>
      </c>
      <c r="G132" s="23" t="s">
        <v>129</v>
      </c>
      <c r="H132">
        <f>shipping_compact!D$21</f>
        <v>7300000</v>
      </c>
      <c r="I132">
        <f>shipping_compact!E$21</f>
        <v>6000</v>
      </c>
      <c r="J132">
        <f>shipping_compact!F$21</f>
        <v>30</v>
      </c>
      <c r="K132">
        <f>shipping_compact!G$21</f>
        <v>0.59250000000000003</v>
      </c>
      <c r="L132">
        <f>shipping_compact!H$21</f>
        <v>1</v>
      </c>
      <c r="M132">
        <f>shipping_compact!J$21</f>
        <v>0.04</v>
      </c>
      <c r="N132">
        <f>shipping_compact!K$21</f>
        <v>0</v>
      </c>
      <c r="O132" s="26">
        <f>shipping_compact!D$25</f>
        <v>293456.89305233641</v>
      </c>
      <c r="P132" s="26">
        <f>shipping_compact!F$25</f>
        <v>30</v>
      </c>
      <c r="Q132" s="26">
        <f>shipping_compact!G$25</f>
        <v>1</v>
      </c>
      <c r="R132" s="24">
        <f>shipping_compact!J$25</f>
        <v>0.04</v>
      </c>
      <c r="S132" s="24">
        <f>shipping_compact!L$25</f>
        <v>0</v>
      </c>
      <c r="T132">
        <f>shipping_compact!D$26</f>
        <v>1756697</v>
      </c>
      <c r="U132">
        <f>shipping_compact!E$26</f>
        <v>4380</v>
      </c>
      <c r="V132">
        <f>shipping_compact!F$26</f>
        <v>25</v>
      </c>
      <c r="W132">
        <f>shipping_compact!G$26</f>
        <v>1</v>
      </c>
      <c r="X132">
        <f>shipping_compact!I$26</f>
        <v>0</v>
      </c>
      <c r="Y132">
        <f>shipping_compact!J$26</f>
        <v>0.04</v>
      </c>
      <c r="Z132">
        <f>shipping_compact!L$26</f>
        <v>1.8083405345233519E-4</v>
      </c>
      <c r="AA132">
        <f>shipping_compact!D$27</f>
        <v>22653</v>
      </c>
      <c r="AB132">
        <f>shipping_compact!F$27</f>
        <v>30</v>
      </c>
      <c r="AC132">
        <f>shipping_compact!G$27</f>
        <v>0.99</v>
      </c>
      <c r="AD132">
        <f>shipping_compact!H$27</f>
        <v>0.83299999999999996</v>
      </c>
      <c r="AE132">
        <f>shipping_compact!J$27</f>
        <v>0.04</v>
      </c>
      <c r="AF132">
        <f>shipping_compact!K$27</f>
        <v>0</v>
      </c>
    </row>
    <row r="133" spans="1:32" x14ac:dyDescent="0.35">
      <c r="A133" t="s">
        <v>389</v>
      </c>
      <c r="B133" t="s">
        <v>519</v>
      </c>
      <c r="C133" t="str">
        <f t="shared" si="2"/>
        <v>ch3oh_terminal_NA-TTO</v>
      </c>
      <c r="D133" t="s">
        <v>193</v>
      </c>
      <c r="E133" s="22">
        <v>10.183118159999999</v>
      </c>
      <c r="F133" s="22">
        <v>-61.6857033</v>
      </c>
      <c r="G133" s="23" t="s">
        <v>129</v>
      </c>
      <c r="H133">
        <f>shipping_compact!D$21</f>
        <v>7300000</v>
      </c>
      <c r="I133">
        <f>shipping_compact!E$21</f>
        <v>6000</v>
      </c>
      <c r="J133">
        <f>shipping_compact!F$21</f>
        <v>30</v>
      </c>
      <c r="K133">
        <f>shipping_compact!G$21</f>
        <v>0.59250000000000003</v>
      </c>
      <c r="L133">
        <f>shipping_compact!H$21</f>
        <v>1</v>
      </c>
      <c r="M133">
        <f>shipping_compact!J$21</f>
        <v>0.04</v>
      </c>
      <c r="N133">
        <f>shipping_compact!K$21</f>
        <v>0</v>
      </c>
      <c r="O133" s="26">
        <f>shipping_compact!D$25</f>
        <v>293456.89305233641</v>
      </c>
      <c r="P133" s="26">
        <f>shipping_compact!F$25</f>
        <v>30</v>
      </c>
      <c r="Q133" s="26">
        <f>shipping_compact!G$25</f>
        <v>1</v>
      </c>
      <c r="R133" s="24">
        <f>shipping_compact!J$25</f>
        <v>0.04</v>
      </c>
      <c r="S133" s="24">
        <f>shipping_compact!L$25</f>
        <v>0</v>
      </c>
      <c r="T133">
        <f>shipping_compact!D$26</f>
        <v>1756697</v>
      </c>
      <c r="U133">
        <f>shipping_compact!E$26</f>
        <v>4380</v>
      </c>
      <c r="V133">
        <f>shipping_compact!F$26</f>
        <v>25</v>
      </c>
      <c r="W133">
        <f>shipping_compact!G$26</f>
        <v>1</v>
      </c>
      <c r="X133">
        <f>shipping_compact!I$26</f>
        <v>0</v>
      </c>
      <c r="Y133">
        <f>shipping_compact!J$26</f>
        <v>0.04</v>
      </c>
      <c r="Z133">
        <f>shipping_compact!L$26</f>
        <v>1.8083405345233519E-4</v>
      </c>
      <c r="AA133">
        <f>shipping_compact!D$27</f>
        <v>22653</v>
      </c>
      <c r="AB133">
        <f>shipping_compact!F$27</f>
        <v>30</v>
      </c>
      <c r="AC133">
        <f>shipping_compact!G$27</f>
        <v>0.99</v>
      </c>
      <c r="AD133">
        <f>shipping_compact!H$27</f>
        <v>0.83299999999999996</v>
      </c>
      <c r="AE133">
        <f>shipping_compact!J$27</f>
        <v>0.04</v>
      </c>
      <c r="AF133">
        <f>shipping_compact!K$27</f>
        <v>0</v>
      </c>
    </row>
    <row r="134" spans="1:32" x14ac:dyDescent="0.35">
      <c r="A134" t="s">
        <v>390</v>
      </c>
      <c r="B134" t="s">
        <v>519</v>
      </c>
      <c r="C134" t="str">
        <f t="shared" si="2"/>
        <v>ch3oh_terminal_SA-BRA-SE</v>
      </c>
      <c r="D134" t="s">
        <v>171</v>
      </c>
      <c r="E134" s="22">
        <v>-22.95599094</v>
      </c>
      <c r="F134" s="22">
        <v>-43.05571612</v>
      </c>
      <c r="G134" s="23" t="s">
        <v>129</v>
      </c>
      <c r="H134">
        <f>shipping_compact!D$21</f>
        <v>7300000</v>
      </c>
      <c r="I134">
        <f>shipping_compact!E$21</f>
        <v>6000</v>
      </c>
      <c r="J134">
        <f>shipping_compact!F$21</f>
        <v>30</v>
      </c>
      <c r="K134">
        <f>shipping_compact!G$21</f>
        <v>0.59250000000000003</v>
      </c>
      <c r="L134">
        <f>shipping_compact!H$21</f>
        <v>1</v>
      </c>
      <c r="M134">
        <f>shipping_compact!J$21</f>
        <v>0.04</v>
      </c>
      <c r="N134">
        <f>shipping_compact!K$21</f>
        <v>0</v>
      </c>
      <c r="O134" s="26">
        <f>shipping_compact!D$25</f>
        <v>293456.89305233641</v>
      </c>
      <c r="P134" s="26">
        <f>shipping_compact!F$25</f>
        <v>30</v>
      </c>
      <c r="Q134" s="26">
        <f>shipping_compact!G$25</f>
        <v>1</v>
      </c>
      <c r="R134" s="24">
        <f>shipping_compact!J$25</f>
        <v>0.04</v>
      </c>
      <c r="S134" s="24">
        <f>shipping_compact!L$25</f>
        <v>0</v>
      </c>
      <c r="T134">
        <f>shipping_compact!D$26</f>
        <v>1756697</v>
      </c>
      <c r="U134">
        <f>shipping_compact!E$26</f>
        <v>4380</v>
      </c>
      <c r="V134">
        <f>shipping_compact!F$26</f>
        <v>25</v>
      </c>
      <c r="W134">
        <f>shipping_compact!G$26</f>
        <v>1</v>
      </c>
      <c r="X134">
        <f>shipping_compact!I$26</f>
        <v>0</v>
      </c>
      <c r="Y134">
        <f>shipping_compact!J$26</f>
        <v>0.04</v>
      </c>
      <c r="Z134">
        <f>shipping_compact!L$26</f>
        <v>1.8083405345233519E-4</v>
      </c>
      <c r="AA134">
        <f>shipping_compact!D$27</f>
        <v>22653</v>
      </c>
      <c r="AB134">
        <f>shipping_compact!F$27</f>
        <v>30</v>
      </c>
      <c r="AC134">
        <f>shipping_compact!G$27</f>
        <v>0.99</v>
      </c>
      <c r="AD134">
        <f>shipping_compact!H$27</f>
        <v>0.83299999999999996</v>
      </c>
      <c r="AE134">
        <f>shipping_compact!J$27</f>
        <v>0.04</v>
      </c>
      <c r="AF134">
        <f>shipping_compact!K$27</f>
        <v>0</v>
      </c>
    </row>
    <row r="135" spans="1:32" x14ac:dyDescent="0.35">
      <c r="A135" t="s">
        <v>390</v>
      </c>
      <c r="B135" t="s">
        <v>519</v>
      </c>
      <c r="C135" t="str">
        <f t="shared" si="2"/>
        <v>ch3oh_terminal_SA-BRA-SE</v>
      </c>
      <c r="D135" t="s">
        <v>391</v>
      </c>
      <c r="E135" s="22">
        <v>-22.95599094</v>
      </c>
      <c r="F135" s="22">
        <v>-43.05571612</v>
      </c>
      <c r="G135" s="23" t="s">
        <v>129</v>
      </c>
      <c r="H135">
        <f>shipping_compact!D$21</f>
        <v>7300000</v>
      </c>
      <c r="I135">
        <f>shipping_compact!E$21</f>
        <v>6000</v>
      </c>
      <c r="J135">
        <f>shipping_compact!F$21</f>
        <v>30</v>
      </c>
      <c r="K135">
        <f>shipping_compact!G$21</f>
        <v>0.59250000000000003</v>
      </c>
      <c r="L135">
        <f>shipping_compact!H$21</f>
        <v>1</v>
      </c>
      <c r="M135">
        <f>shipping_compact!J$21</f>
        <v>0.04</v>
      </c>
      <c r="N135">
        <f>shipping_compact!K$21</f>
        <v>0</v>
      </c>
      <c r="O135" s="26">
        <f>shipping_compact!D$25</f>
        <v>293456.89305233641</v>
      </c>
      <c r="P135" s="26">
        <f>shipping_compact!F$25</f>
        <v>30</v>
      </c>
      <c r="Q135" s="26">
        <f>shipping_compact!G$25</f>
        <v>1</v>
      </c>
      <c r="R135" s="24">
        <f>shipping_compact!J$25</f>
        <v>0.04</v>
      </c>
      <c r="S135" s="24">
        <f>shipping_compact!L$25</f>
        <v>0</v>
      </c>
      <c r="T135">
        <f>shipping_compact!D$26</f>
        <v>1756697</v>
      </c>
      <c r="U135">
        <f>shipping_compact!E$26</f>
        <v>4380</v>
      </c>
      <c r="V135">
        <f>shipping_compact!F$26</f>
        <v>25</v>
      </c>
      <c r="W135">
        <f>shipping_compact!G$26</f>
        <v>1</v>
      </c>
      <c r="X135">
        <f>shipping_compact!I$26</f>
        <v>0</v>
      </c>
      <c r="Y135">
        <f>shipping_compact!J$26</f>
        <v>0.04</v>
      </c>
      <c r="Z135">
        <f>shipping_compact!L$26</f>
        <v>1.8083405345233519E-4</v>
      </c>
      <c r="AA135">
        <f>shipping_compact!D$27</f>
        <v>22653</v>
      </c>
      <c r="AB135">
        <f>shipping_compact!F$27</f>
        <v>30</v>
      </c>
      <c r="AC135">
        <f>shipping_compact!G$27</f>
        <v>0.99</v>
      </c>
      <c r="AD135">
        <f>shipping_compact!H$27</f>
        <v>0.83299999999999996</v>
      </c>
      <c r="AE135">
        <f>shipping_compact!J$27</f>
        <v>0.04</v>
      </c>
      <c r="AF135">
        <f>shipping_compact!K$27</f>
        <v>0</v>
      </c>
    </row>
    <row r="136" spans="1:32" x14ac:dyDescent="0.35">
      <c r="A136" t="s">
        <v>392</v>
      </c>
      <c r="B136" t="s">
        <v>519</v>
      </c>
      <c r="C136" t="str">
        <f t="shared" si="2"/>
        <v>ch3oh_terminal_SA-ARG</v>
      </c>
      <c r="D136" t="s">
        <v>168</v>
      </c>
      <c r="E136" s="22">
        <v>-38.78344354</v>
      </c>
      <c r="F136" s="22">
        <v>-62.285329240000003</v>
      </c>
      <c r="G136" s="23" t="s">
        <v>129</v>
      </c>
      <c r="H136">
        <f>shipping_compact!D$21</f>
        <v>7300000</v>
      </c>
      <c r="I136">
        <f>shipping_compact!E$21</f>
        <v>6000</v>
      </c>
      <c r="J136">
        <f>shipping_compact!F$21</f>
        <v>30</v>
      </c>
      <c r="K136">
        <f>shipping_compact!G$21</f>
        <v>0.59250000000000003</v>
      </c>
      <c r="L136">
        <f>shipping_compact!H$21</f>
        <v>1</v>
      </c>
      <c r="M136">
        <f>shipping_compact!J$21</f>
        <v>0.04</v>
      </c>
      <c r="N136">
        <f>shipping_compact!K$21</f>
        <v>0</v>
      </c>
      <c r="O136" s="26">
        <f>shipping_compact!D$25</f>
        <v>293456.89305233641</v>
      </c>
      <c r="P136" s="26">
        <f>shipping_compact!F$25</f>
        <v>30</v>
      </c>
      <c r="Q136" s="26">
        <f>shipping_compact!G$25</f>
        <v>1</v>
      </c>
      <c r="R136" s="24">
        <f>shipping_compact!J$25</f>
        <v>0.04</v>
      </c>
      <c r="S136" s="24">
        <f>shipping_compact!L$25</f>
        <v>0</v>
      </c>
      <c r="T136">
        <f>shipping_compact!D$26</f>
        <v>1756697</v>
      </c>
      <c r="U136">
        <f>shipping_compact!E$26</f>
        <v>4380</v>
      </c>
      <c r="V136">
        <f>shipping_compact!F$26</f>
        <v>25</v>
      </c>
      <c r="W136">
        <f>shipping_compact!G$26</f>
        <v>1</v>
      </c>
      <c r="X136">
        <f>shipping_compact!I$26</f>
        <v>0</v>
      </c>
      <c r="Y136">
        <f>shipping_compact!J$26</f>
        <v>0.04</v>
      </c>
      <c r="Z136">
        <f>shipping_compact!L$26</f>
        <v>1.8083405345233519E-4</v>
      </c>
      <c r="AA136">
        <f>shipping_compact!D$27</f>
        <v>22653</v>
      </c>
      <c r="AB136">
        <f>shipping_compact!F$27</f>
        <v>30</v>
      </c>
      <c r="AC136">
        <f>shipping_compact!G$27</f>
        <v>0.99</v>
      </c>
      <c r="AD136">
        <f>shipping_compact!H$27</f>
        <v>0.83299999999999996</v>
      </c>
      <c r="AE136">
        <f>shipping_compact!J$27</f>
        <v>0.04</v>
      </c>
      <c r="AF136">
        <f>shipping_compact!K$27</f>
        <v>0</v>
      </c>
    </row>
    <row r="137" spans="1:32" x14ac:dyDescent="0.35">
      <c r="A137" t="s">
        <v>393</v>
      </c>
      <c r="B137" t="s">
        <v>519</v>
      </c>
      <c r="C137" t="str">
        <f t="shared" si="2"/>
        <v>ch3oh_terminal_SA-CHL</v>
      </c>
      <c r="D137" t="s">
        <v>173</v>
      </c>
      <c r="E137" s="22">
        <v>-36.744015390000001</v>
      </c>
      <c r="F137" s="22">
        <v>-73.124998890000001</v>
      </c>
      <c r="G137" s="23" t="s">
        <v>129</v>
      </c>
      <c r="H137">
        <f>shipping_compact!D$21</f>
        <v>7300000</v>
      </c>
      <c r="I137">
        <f>shipping_compact!E$21</f>
        <v>6000</v>
      </c>
      <c r="J137">
        <f>shipping_compact!F$21</f>
        <v>30</v>
      </c>
      <c r="K137">
        <f>shipping_compact!G$21</f>
        <v>0.59250000000000003</v>
      </c>
      <c r="L137">
        <f>shipping_compact!H$21</f>
        <v>1</v>
      </c>
      <c r="M137">
        <f>shipping_compact!J$21</f>
        <v>0.04</v>
      </c>
      <c r="N137">
        <f>shipping_compact!K$21</f>
        <v>0</v>
      </c>
      <c r="O137" s="26">
        <f>shipping_compact!D$25</f>
        <v>293456.89305233641</v>
      </c>
      <c r="P137" s="26">
        <f>shipping_compact!F$25</f>
        <v>30</v>
      </c>
      <c r="Q137" s="26">
        <f>shipping_compact!G$25</f>
        <v>1</v>
      </c>
      <c r="R137" s="24">
        <f>shipping_compact!J$25</f>
        <v>0.04</v>
      </c>
      <c r="S137" s="24">
        <f>shipping_compact!L$25</f>
        <v>0</v>
      </c>
      <c r="T137">
        <f>shipping_compact!D$26</f>
        <v>1756697</v>
      </c>
      <c r="U137">
        <f>shipping_compact!E$26</f>
        <v>4380</v>
      </c>
      <c r="V137">
        <f>shipping_compact!F$26</f>
        <v>25</v>
      </c>
      <c r="W137">
        <f>shipping_compact!G$26</f>
        <v>1</v>
      </c>
      <c r="X137">
        <f>shipping_compact!I$26</f>
        <v>0</v>
      </c>
      <c r="Y137">
        <f>shipping_compact!J$26</f>
        <v>0.04</v>
      </c>
      <c r="Z137">
        <f>shipping_compact!L$26</f>
        <v>1.8083405345233519E-4</v>
      </c>
      <c r="AA137">
        <f>shipping_compact!D$27</f>
        <v>22653</v>
      </c>
      <c r="AB137">
        <f>shipping_compact!F$27</f>
        <v>30</v>
      </c>
      <c r="AC137">
        <f>shipping_compact!G$27</f>
        <v>0.99</v>
      </c>
      <c r="AD137">
        <f>shipping_compact!H$27</f>
        <v>0.83299999999999996</v>
      </c>
      <c r="AE137">
        <f>shipping_compact!J$27</f>
        <v>0.04</v>
      </c>
      <c r="AF137">
        <f>shipping_compact!K$27</f>
        <v>0</v>
      </c>
    </row>
    <row r="138" spans="1:32" x14ac:dyDescent="0.35">
      <c r="A138" t="s">
        <v>394</v>
      </c>
      <c r="B138" t="s">
        <v>519</v>
      </c>
      <c r="C138" t="str">
        <f t="shared" si="2"/>
        <v>ch3oh_terminal_SA-PER</v>
      </c>
      <c r="D138" t="s">
        <v>188</v>
      </c>
      <c r="E138" s="22">
        <v>-11.81733442</v>
      </c>
      <c r="F138" s="22">
        <v>-77.17339115</v>
      </c>
      <c r="G138" s="23" t="s">
        <v>129</v>
      </c>
      <c r="H138">
        <f>shipping_compact!D$21</f>
        <v>7300000</v>
      </c>
      <c r="I138">
        <f>shipping_compact!E$21</f>
        <v>6000</v>
      </c>
      <c r="J138">
        <f>shipping_compact!F$21</f>
        <v>30</v>
      </c>
      <c r="K138">
        <f>shipping_compact!G$21</f>
        <v>0.59250000000000003</v>
      </c>
      <c r="L138">
        <f>shipping_compact!H$21</f>
        <v>1</v>
      </c>
      <c r="M138">
        <f>shipping_compact!J$21</f>
        <v>0.04</v>
      </c>
      <c r="N138">
        <f>shipping_compact!K$21</f>
        <v>0</v>
      </c>
      <c r="O138" s="26">
        <f>shipping_compact!D$25</f>
        <v>293456.89305233641</v>
      </c>
      <c r="P138" s="26">
        <f>shipping_compact!F$25</f>
        <v>30</v>
      </c>
      <c r="Q138" s="26">
        <f>shipping_compact!G$25</f>
        <v>1</v>
      </c>
      <c r="R138" s="24">
        <f>shipping_compact!J$25</f>
        <v>0.04</v>
      </c>
      <c r="S138" s="24">
        <f>shipping_compact!L$25</f>
        <v>0</v>
      </c>
      <c r="T138">
        <f>shipping_compact!D$26</f>
        <v>1756697</v>
      </c>
      <c r="U138">
        <f>shipping_compact!E$26</f>
        <v>4380</v>
      </c>
      <c r="V138">
        <f>shipping_compact!F$26</f>
        <v>25</v>
      </c>
      <c r="W138">
        <f>shipping_compact!G$26</f>
        <v>1</v>
      </c>
      <c r="X138">
        <f>shipping_compact!I$26</f>
        <v>0</v>
      </c>
      <c r="Y138">
        <f>shipping_compact!J$26</f>
        <v>0.04</v>
      </c>
      <c r="Z138">
        <f>shipping_compact!L$26</f>
        <v>1.8083405345233519E-4</v>
      </c>
      <c r="AA138">
        <f>shipping_compact!D$27</f>
        <v>22653</v>
      </c>
      <c r="AB138">
        <f>shipping_compact!F$27</f>
        <v>30</v>
      </c>
      <c r="AC138">
        <f>shipping_compact!G$27</f>
        <v>0.99</v>
      </c>
      <c r="AD138">
        <f>shipping_compact!H$27</f>
        <v>0.83299999999999996</v>
      </c>
      <c r="AE138">
        <f>shipping_compact!J$27</f>
        <v>0.04</v>
      </c>
      <c r="AF138">
        <f>shipping_compact!K$27</f>
        <v>0</v>
      </c>
    </row>
    <row r="139" spans="1:32" x14ac:dyDescent="0.35">
      <c r="A139" t="s">
        <v>395</v>
      </c>
      <c r="B139" t="s">
        <v>519</v>
      </c>
      <c r="C139" t="str">
        <f t="shared" si="2"/>
        <v>ch3oh_terminal_AF-DZA</v>
      </c>
      <c r="D139" t="s">
        <v>251</v>
      </c>
      <c r="E139" s="22">
        <v>36.885833669999997</v>
      </c>
      <c r="F139" s="22">
        <v>6.9043777879999997</v>
      </c>
      <c r="G139" s="23" t="s">
        <v>129</v>
      </c>
      <c r="H139">
        <f>shipping_compact!D$21</f>
        <v>7300000</v>
      </c>
      <c r="I139">
        <f>shipping_compact!E$21</f>
        <v>6000</v>
      </c>
      <c r="J139">
        <f>shipping_compact!F$21</f>
        <v>30</v>
      </c>
      <c r="K139">
        <f>shipping_compact!G$21</f>
        <v>0.59250000000000003</v>
      </c>
      <c r="L139">
        <f>shipping_compact!H$21</f>
        <v>1</v>
      </c>
      <c r="M139">
        <f>shipping_compact!J$21</f>
        <v>0.04</v>
      </c>
      <c r="N139">
        <f>shipping_compact!K$21</f>
        <v>0</v>
      </c>
      <c r="O139" s="26">
        <f>shipping_compact!D$25</f>
        <v>293456.89305233641</v>
      </c>
      <c r="P139" s="26">
        <f>shipping_compact!F$25</f>
        <v>30</v>
      </c>
      <c r="Q139" s="26">
        <f>shipping_compact!G$25</f>
        <v>1</v>
      </c>
      <c r="R139" s="24">
        <f>shipping_compact!J$25</f>
        <v>0.04</v>
      </c>
      <c r="S139" s="24">
        <f>shipping_compact!L$25</f>
        <v>0</v>
      </c>
      <c r="T139">
        <f>shipping_compact!D$26</f>
        <v>1756697</v>
      </c>
      <c r="U139">
        <f>shipping_compact!E$26</f>
        <v>4380</v>
      </c>
      <c r="V139">
        <f>shipping_compact!F$26</f>
        <v>25</v>
      </c>
      <c r="W139">
        <f>shipping_compact!G$26</f>
        <v>1</v>
      </c>
      <c r="X139">
        <f>shipping_compact!I$26</f>
        <v>0</v>
      </c>
      <c r="Y139">
        <f>shipping_compact!J$26</f>
        <v>0.04</v>
      </c>
      <c r="Z139">
        <f>shipping_compact!L$26</f>
        <v>1.8083405345233519E-4</v>
      </c>
      <c r="AA139">
        <f>shipping_compact!D$27</f>
        <v>22653</v>
      </c>
      <c r="AB139">
        <f>shipping_compact!F$27</f>
        <v>30</v>
      </c>
      <c r="AC139">
        <f>shipping_compact!G$27</f>
        <v>0.99</v>
      </c>
      <c r="AD139">
        <f>shipping_compact!H$27</f>
        <v>0.83299999999999996</v>
      </c>
      <c r="AE139">
        <f>shipping_compact!J$27</f>
        <v>0.04</v>
      </c>
      <c r="AF139">
        <f>shipping_compact!K$27</f>
        <v>0</v>
      </c>
    </row>
    <row r="140" spans="1:32" x14ac:dyDescent="0.35">
      <c r="A140" t="s">
        <v>396</v>
      </c>
      <c r="B140" t="s">
        <v>519</v>
      </c>
      <c r="C140" t="str">
        <f t="shared" si="2"/>
        <v>ch3oh_terminal_AF-SEN</v>
      </c>
      <c r="D140" t="s">
        <v>276</v>
      </c>
      <c r="E140" s="22">
        <v>14.73659842</v>
      </c>
      <c r="F140" s="22">
        <v>-17.481210319999999</v>
      </c>
      <c r="G140" s="23" t="s">
        <v>129</v>
      </c>
      <c r="H140">
        <f>shipping_compact!D$21</f>
        <v>7300000</v>
      </c>
      <c r="I140">
        <f>shipping_compact!E$21</f>
        <v>6000</v>
      </c>
      <c r="J140">
        <f>shipping_compact!F$21</f>
        <v>30</v>
      </c>
      <c r="K140">
        <f>shipping_compact!G$21</f>
        <v>0.59250000000000003</v>
      </c>
      <c r="L140">
        <f>shipping_compact!H$21</f>
        <v>1</v>
      </c>
      <c r="M140">
        <f>shipping_compact!J$21</f>
        <v>0.04</v>
      </c>
      <c r="N140">
        <f>shipping_compact!K$21</f>
        <v>0</v>
      </c>
      <c r="O140" s="26">
        <f>shipping_compact!D$25</f>
        <v>293456.89305233641</v>
      </c>
      <c r="P140" s="26">
        <f>shipping_compact!F$25</f>
        <v>30</v>
      </c>
      <c r="Q140" s="26">
        <f>shipping_compact!G$25</f>
        <v>1</v>
      </c>
      <c r="R140" s="24">
        <f>shipping_compact!J$25</f>
        <v>0.04</v>
      </c>
      <c r="S140" s="24">
        <f>shipping_compact!L$25</f>
        <v>0</v>
      </c>
      <c r="T140">
        <f>shipping_compact!D$26</f>
        <v>1756697</v>
      </c>
      <c r="U140">
        <f>shipping_compact!E$26</f>
        <v>4380</v>
      </c>
      <c r="V140">
        <f>shipping_compact!F$26</f>
        <v>25</v>
      </c>
      <c r="W140">
        <f>shipping_compact!G$26</f>
        <v>1</v>
      </c>
      <c r="X140">
        <f>shipping_compact!I$26</f>
        <v>0</v>
      </c>
      <c r="Y140">
        <f>shipping_compact!J$26</f>
        <v>0.04</v>
      </c>
      <c r="Z140">
        <f>shipping_compact!L$26</f>
        <v>1.8083405345233519E-4</v>
      </c>
      <c r="AA140">
        <f>shipping_compact!D$27</f>
        <v>22653</v>
      </c>
      <c r="AB140">
        <f>shipping_compact!F$27</f>
        <v>30</v>
      </c>
      <c r="AC140">
        <f>shipping_compact!G$27</f>
        <v>0.99</v>
      </c>
      <c r="AD140">
        <f>shipping_compact!H$27</f>
        <v>0.83299999999999996</v>
      </c>
      <c r="AE140">
        <f>shipping_compact!J$27</f>
        <v>0.04</v>
      </c>
      <c r="AF140">
        <f>shipping_compact!K$27</f>
        <v>0</v>
      </c>
    </row>
    <row r="141" spans="1:32" x14ac:dyDescent="0.35">
      <c r="A141" t="s">
        <v>397</v>
      </c>
      <c r="B141" t="s">
        <v>519</v>
      </c>
      <c r="C141" t="str">
        <f t="shared" si="2"/>
        <v>ch3oh_terminal_AF-NGA</v>
      </c>
      <c r="D141" t="s">
        <v>273</v>
      </c>
      <c r="E141" s="22">
        <v>6.4294702499999996</v>
      </c>
      <c r="F141" s="22">
        <v>3.4963682029999998</v>
      </c>
      <c r="G141" s="23" t="s">
        <v>129</v>
      </c>
      <c r="H141">
        <f>shipping_compact!D$21</f>
        <v>7300000</v>
      </c>
      <c r="I141">
        <f>shipping_compact!E$21</f>
        <v>6000</v>
      </c>
      <c r="J141">
        <f>shipping_compact!F$21</f>
        <v>30</v>
      </c>
      <c r="K141">
        <f>shipping_compact!G$21</f>
        <v>0.59250000000000003</v>
      </c>
      <c r="L141">
        <f>shipping_compact!H$21</f>
        <v>1</v>
      </c>
      <c r="M141">
        <f>shipping_compact!J$21</f>
        <v>0.04</v>
      </c>
      <c r="N141">
        <f>shipping_compact!K$21</f>
        <v>0</v>
      </c>
      <c r="O141" s="26">
        <f>shipping_compact!D$25</f>
        <v>293456.89305233641</v>
      </c>
      <c r="P141" s="26">
        <f>shipping_compact!F$25</f>
        <v>30</v>
      </c>
      <c r="Q141" s="26">
        <f>shipping_compact!G$25</f>
        <v>1</v>
      </c>
      <c r="R141" s="24">
        <f>shipping_compact!J$25</f>
        <v>0.04</v>
      </c>
      <c r="S141" s="24">
        <f>shipping_compact!L$25</f>
        <v>0</v>
      </c>
      <c r="T141">
        <f>shipping_compact!D$26</f>
        <v>1756697</v>
      </c>
      <c r="U141">
        <f>shipping_compact!E$26</f>
        <v>4380</v>
      </c>
      <c r="V141">
        <f>shipping_compact!F$26</f>
        <v>25</v>
      </c>
      <c r="W141">
        <f>shipping_compact!G$26</f>
        <v>1</v>
      </c>
      <c r="X141">
        <f>shipping_compact!I$26</f>
        <v>0</v>
      </c>
      <c r="Y141">
        <f>shipping_compact!J$26</f>
        <v>0.04</v>
      </c>
      <c r="Z141">
        <f>shipping_compact!L$26</f>
        <v>1.8083405345233519E-4</v>
      </c>
      <c r="AA141">
        <f>shipping_compact!D$27</f>
        <v>22653</v>
      </c>
      <c r="AB141">
        <f>shipping_compact!F$27</f>
        <v>30</v>
      </c>
      <c r="AC141">
        <f>shipping_compact!G$27</f>
        <v>0.99</v>
      </c>
      <c r="AD141">
        <f>shipping_compact!H$27</f>
        <v>0.83299999999999996</v>
      </c>
      <c r="AE141">
        <f>shipping_compact!J$27</f>
        <v>0.04</v>
      </c>
      <c r="AF141">
        <f>shipping_compact!K$27</f>
        <v>0</v>
      </c>
    </row>
    <row r="142" spans="1:32" x14ac:dyDescent="0.35">
      <c r="A142" t="s">
        <v>398</v>
      </c>
      <c r="B142" t="s">
        <v>519</v>
      </c>
      <c r="C142" t="str">
        <f t="shared" si="2"/>
        <v>ch3oh_terminal_AF-AGO</v>
      </c>
      <c r="D142" t="s">
        <v>240</v>
      </c>
      <c r="E142" s="22">
        <v>-6.118802198</v>
      </c>
      <c r="F142" s="22">
        <v>12.33208099</v>
      </c>
      <c r="G142" s="23" t="s">
        <v>129</v>
      </c>
      <c r="H142">
        <f>shipping_compact!D$21</f>
        <v>7300000</v>
      </c>
      <c r="I142">
        <f>shipping_compact!E$21</f>
        <v>6000</v>
      </c>
      <c r="J142">
        <f>shipping_compact!F$21</f>
        <v>30</v>
      </c>
      <c r="K142">
        <f>shipping_compact!G$21</f>
        <v>0.59250000000000003</v>
      </c>
      <c r="L142">
        <f>shipping_compact!H$21</f>
        <v>1</v>
      </c>
      <c r="M142">
        <f>shipping_compact!J$21</f>
        <v>0.04</v>
      </c>
      <c r="N142">
        <f>shipping_compact!K$21</f>
        <v>0</v>
      </c>
      <c r="O142" s="26">
        <f>shipping_compact!D$25</f>
        <v>293456.89305233641</v>
      </c>
      <c r="P142" s="26">
        <f>shipping_compact!F$25</f>
        <v>30</v>
      </c>
      <c r="Q142" s="26">
        <f>shipping_compact!G$25</f>
        <v>1</v>
      </c>
      <c r="R142" s="24">
        <f>shipping_compact!J$25</f>
        <v>0.04</v>
      </c>
      <c r="S142" s="24">
        <f>shipping_compact!L$25</f>
        <v>0</v>
      </c>
      <c r="T142">
        <f>shipping_compact!D$26</f>
        <v>1756697</v>
      </c>
      <c r="U142">
        <f>shipping_compact!E$26</f>
        <v>4380</v>
      </c>
      <c r="V142">
        <f>shipping_compact!F$26</f>
        <v>25</v>
      </c>
      <c r="W142">
        <f>shipping_compact!G$26</f>
        <v>1</v>
      </c>
      <c r="X142">
        <f>shipping_compact!I$26</f>
        <v>0</v>
      </c>
      <c r="Y142">
        <f>shipping_compact!J$26</f>
        <v>0.04</v>
      </c>
      <c r="Z142">
        <f>shipping_compact!L$26</f>
        <v>1.8083405345233519E-4</v>
      </c>
      <c r="AA142">
        <f>shipping_compact!D$27</f>
        <v>22653</v>
      </c>
      <c r="AB142">
        <f>shipping_compact!F$27</f>
        <v>30</v>
      </c>
      <c r="AC142">
        <f>shipping_compact!G$27</f>
        <v>0.99</v>
      </c>
      <c r="AD142">
        <f>shipping_compact!H$27</f>
        <v>0.83299999999999996</v>
      </c>
      <c r="AE142">
        <f>shipping_compact!J$27</f>
        <v>0.04</v>
      </c>
      <c r="AF142">
        <f>shipping_compact!K$27</f>
        <v>0</v>
      </c>
    </row>
    <row r="143" spans="1:32" x14ac:dyDescent="0.35">
      <c r="A143" t="s">
        <v>399</v>
      </c>
      <c r="B143" t="s">
        <v>519</v>
      </c>
      <c r="C143" t="str">
        <f t="shared" si="2"/>
        <v>ch3oh_terminal_AF-ZAF</v>
      </c>
      <c r="D143" t="s">
        <v>285</v>
      </c>
      <c r="E143" s="22">
        <v>-33.731549340000001</v>
      </c>
      <c r="F143" s="22">
        <v>18.4458488</v>
      </c>
      <c r="G143" s="23" t="s">
        <v>129</v>
      </c>
      <c r="H143">
        <f>shipping_compact!D$21</f>
        <v>7300000</v>
      </c>
      <c r="I143">
        <f>shipping_compact!E$21</f>
        <v>6000</v>
      </c>
      <c r="J143">
        <f>shipping_compact!F$21</f>
        <v>30</v>
      </c>
      <c r="K143">
        <f>shipping_compact!G$21</f>
        <v>0.59250000000000003</v>
      </c>
      <c r="L143">
        <f>shipping_compact!H$21</f>
        <v>1</v>
      </c>
      <c r="M143">
        <f>shipping_compact!J$21</f>
        <v>0.04</v>
      </c>
      <c r="N143">
        <f>shipping_compact!K$21</f>
        <v>0</v>
      </c>
      <c r="O143" s="26">
        <f>shipping_compact!D$25</f>
        <v>293456.89305233641</v>
      </c>
      <c r="P143" s="26">
        <f>shipping_compact!F$25</f>
        <v>30</v>
      </c>
      <c r="Q143" s="26">
        <f>shipping_compact!G$25</f>
        <v>1</v>
      </c>
      <c r="R143" s="24">
        <f>shipping_compact!J$25</f>
        <v>0.04</v>
      </c>
      <c r="S143" s="24">
        <f>shipping_compact!L$25</f>
        <v>0</v>
      </c>
      <c r="T143">
        <f>shipping_compact!D$26</f>
        <v>1756697</v>
      </c>
      <c r="U143">
        <f>shipping_compact!E$26</f>
        <v>4380</v>
      </c>
      <c r="V143">
        <f>shipping_compact!F$26</f>
        <v>25</v>
      </c>
      <c r="W143">
        <f>shipping_compact!G$26</f>
        <v>1</v>
      </c>
      <c r="X143">
        <f>shipping_compact!I$26</f>
        <v>0</v>
      </c>
      <c r="Y143">
        <f>shipping_compact!J$26</f>
        <v>0.04</v>
      </c>
      <c r="Z143">
        <f>shipping_compact!L$26</f>
        <v>1.8083405345233519E-4</v>
      </c>
      <c r="AA143">
        <f>shipping_compact!D$27</f>
        <v>22653</v>
      </c>
      <c r="AB143">
        <f>shipping_compact!F$27</f>
        <v>30</v>
      </c>
      <c r="AC143">
        <f>shipping_compact!G$27</f>
        <v>0.99</v>
      </c>
      <c r="AD143">
        <f>shipping_compact!H$27</f>
        <v>0.83299999999999996</v>
      </c>
      <c r="AE143">
        <f>shipping_compact!J$27</f>
        <v>0.04</v>
      </c>
      <c r="AF143">
        <f>shipping_compact!K$27</f>
        <v>0</v>
      </c>
    </row>
    <row r="144" spans="1:32" x14ac:dyDescent="0.35">
      <c r="A144" t="s">
        <v>400</v>
      </c>
      <c r="B144" t="s">
        <v>519</v>
      </c>
      <c r="C144" t="str">
        <f t="shared" si="2"/>
        <v>ch3oh_terminal_AF-TZA</v>
      </c>
      <c r="D144" t="s">
        <v>283</v>
      </c>
      <c r="E144" s="22">
        <v>-9.9692840890000003</v>
      </c>
      <c r="F144" s="22">
        <v>39.704937809999997</v>
      </c>
      <c r="G144" s="23" t="s">
        <v>129</v>
      </c>
      <c r="H144">
        <f>shipping_compact!D$21</f>
        <v>7300000</v>
      </c>
      <c r="I144">
        <f>shipping_compact!E$21</f>
        <v>6000</v>
      </c>
      <c r="J144">
        <f>shipping_compact!F$21</f>
        <v>30</v>
      </c>
      <c r="K144">
        <f>shipping_compact!G$21</f>
        <v>0.59250000000000003</v>
      </c>
      <c r="L144">
        <f>shipping_compact!H$21</f>
        <v>1</v>
      </c>
      <c r="M144">
        <f>shipping_compact!J$21</f>
        <v>0.04</v>
      </c>
      <c r="N144">
        <f>shipping_compact!K$21</f>
        <v>0</v>
      </c>
      <c r="O144" s="26">
        <f>shipping_compact!D$25</f>
        <v>293456.89305233641</v>
      </c>
      <c r="P144" s="26">
        <f>shipping_compact!F$25</f>
        <v>30</v>
      </c>
      <c r="Q144" s="26">
        <f>shipping_compact!G$25</f>
        <v>1</v>
      </c>
      <c r="R144" s="24">
        <f>shipping_compact!J$25</f>
        <v>0.04</v>
      </c>
      <c r="S144" s="24">
        <f>shipping_compact!L$25</f>
        <v>0</v>
      </c>
      <c r="T144">
        <f>shipping_compact!D$26</f>
        <v>1756697</v>
      </c>
      <c r="U144">
        <f>shipping_compact!E$26</f>
        <v>4380</v>
      </c>
      <c r="V144">
        <f>shipping_compact!F$26</f>
        <v>25</v>
      </c>
      <c r="W144">
        <f>shipping_compact!G$26</f>
        <v>1</v>
      </c>
      <c r="X144">
        <f>shipping_compact!I$26</f>
        <v>0</v>
      </c>
      <c r="Y144">
        <f>shipping_compact!J$26</f>
        <v>0.04</v>
      </c>
      <c r="Z144">
        <f>shipping_compact!L$26</f>
        <v>1.8083405345233519E-4</v>
      </c>
      <c r="AA144">
        <f>shipping_compact!D$27</f>
        <v>22653</v>
      </c>
      <c r="AB144">
        <f>shipping_compact!F$27</f>
        <v>30</v>
      </c>
      <c r="AC144">
        <f>shipping_compact!G$27</f>
        <v>0.99</v>
      </c>
      <c r="AD144">
        <f>shipping_compact!H$27</f>
        <v>0.83299999999999996</v>
      </c>
      <c r="AE144">
        <f>shipping_compact!J$27</f>
        <v>0.04</v>
      </c>
      <c r="AF144">
        <f>shipping_compact!K$27</f>
        <v>0</v>
      </c>
    </row>
    <row r="145" spans="1:32" x14ac:dyDescent="0.35">
      <c r="A145" t="s">
        <v>401</v>
      </c>
      <c r="B145" t="s">
        <v>519</v>
      </c>
      <c r="C145" t="str">
        <f t="shared" si="2"/>
        <v>ch3oh_terminal_AF-EGY</v>
      </c>
      <c r="D145" t="s">
        <v>252</v>
      </c>
      <c r="E145" s="22">
        <v>29.916288659999999</v>
      </c>
      <c r="F145" s="22">
        <v>32.449177310000003</v>
      </c>
      <c r="G145" s="23" t="s">
        <v>129</v>
      </c>
      <c r="H145">
        <f>shipping_compact!D$21</f>
        <v>7300000</v>
      </c>
      <c r="I145">
        <f>shipping_compact!E$21</f>
        <v>6000</v>
      </c>
      <c r="J145">
        <f>shipping_compact!F$21</f>
        <v>30</v>
      </c>
      <c r="K145">
        <f>shipping_compact!G$21</f>
        <v>0.59250000000000003</v>
      </c>
      <c r="L145">
        <f>shipping_compact!H$21</f>
        <v>1</v>
      </c>
      <c r="M145">
        <f>shipping_compact!J$21</f>
        <v>0.04</v>
      </c>
      <c r="N145">
        <f>shipping_compact!K$21</f>
        <v>0</v>
      </c>
      <c r="O145" s="26">
        <f>shipping_compact!D$25</f>
        <v>293456.89305233641</v>
      </c>
      <c r="P145" s="26">
        <f>shipping_compact!F$25</f>
        <v>30</v>
      </c>
      <c r="Q145" s="26">
        <f>shipping_compact!G$25</f>
        <v>1</v>
      </c>
      <c r="R145" s="24">
        <f>shipping_compact!J$25</f>
        <v>0.04</v>
      </c>
      <c r="S145" s="24">
        <f>shipping_compact!L$25</f>
        <v>0</v>
      </c>
      <c r="T145">
        <f>shipping_compact!D$26</f>
        <v>1756697</v>
      </c>
      <c r="U145">
        <f>shipping_compact!E$26</f>
        <v>4380</v>
      </c>
      <c r="V145">
        <f>shipping_compact!F$26</f>
        <v>25</v>
      </c>
      <c r="W145">
        <f>shipping_compact!G$26</f>
        <v>1</v>
      </c>
      <c r="X145">
        <f>shipping_compact!I$26</f>
        <v>0</v>
      </c>
      <c r="Y145">
        <f>shipping_compact!J$26</f>
        <v>0.04</v>
      </c>
      <c r="Z145">
        <f>shipping_compact!L$26</f>
        <v>1.8083405345233519E-4</v>
      </c>
      <c r="AA145">
        <f>shipping_compact!D$27</f>
        <v>22653</v>
      </c>
      <c r="AB145">
        <f>shipping_compact!F$27</f>
        <v>30</v>
      </c>
      <c r="AC145">
        <f>shipping_compact!G$27</f>
        <v>0.99</v>
      </c>
      <c r="AD145">
        <f>shipping_compact!H$27</f>
        <v>0.83299999999999996</v>
      </c>
      <c r="AE145">
        <f>shipping_compact!J$27</f>
        <v>0.04</v>
      </c>
      <c r="AF145">
        <f>shipping_compact!K$27</f>
        <v>0</v>
      </c>
    </row>
  </sheetData>
  <phoneticPr fontId="11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pipeline_collection</vt:lpstr>
      <vt:lpstr>pipeline_data</vt:lpstr>
      <vt:lpstr>shipping_collection</vt:lpstr>
      <vt:lpstr>shipping_compact</vt:lpstr>
      <vt:lpstr>shipping_data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Linsel, Oliver</cp:lastModifiedBy>
  <dcterms:created xsi:type="dcterms:W3CDTF">2015-06-05T18:19:34Z</dcterms:created>
  <dcterms:modified xsi:type="dcterms:W3CDTF">2026-10-12T13:54:27Z</dcterms:modified>
</cp:coreProperties>
</file>